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26_대중\"/>
    </mc:Choice>
  </mc:AlternateContent>
  <xr:revisionPtr revIDLastSave="0" documentId="13_ncr:1_{C074AE69-2183-4FA5-9F07-64273783721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2026학년도 1학기 시간표" sheetId="2" r:id="rId1"/>
    <sheet name="2026학년도 1학기 능력단위 시간표" sheetId="4" r:id="rId2"/>
  </sheets>
  <definedNames>
    <definedName name="_xlnm._FilterDatabase" localSheetId="0" hidden="1">'2026학년도 1학기 시간표'!$Y$1:$Y$45</definedName>
    <definedName name="_xlnm.Print_Area" localSheetId="0">'2026학년도 1학기 시간표'!$A$1:$BF$45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45" i="2" l="1"/>
  <c r="BC45" i="2"/>
  <c r="BB45" i="2"/>
  <c r="AY45" i="2"/>
  <c r="AX45" i="2"/>
  <c r="AV45" i="2"/>
  <c r="AT45" i="2"/>
  <c r="AU45" i="2"/>
  <c r="AS45" i="2"/>
  <c r="AN45" i="2"/>
  <c r="AM45" i="2"/>
  <c r="AL45" i="2"/>
  <c r="AJ45" i="2"/>
  <c r="AH45" i="2"/>
  <c r="AF45" i="2"/>
  <c r="AE45" i="2"/>
  <c r="AB45" i="2"/>
  <c r="AA45" i="2"/>
  <c r="Z45" i="2"/>
  <c r="Y45" i="2"/>
  <c r="W45" i="2"/>
  <c r="V45" i="2"/>
  <c r="U45" i="2"/>
  <c r="W87" i="4" l="1"/>
  <c r="W76" i="4"/>
  <c r="W68" i="4"/>
  <c r="W59" i="4"/>
  <c r="W50" i="4"/>
  <c r="W41" i="4"/>
  <c r="W36" i="4"/>
  <c r="W30" i="4" l="1"/>
  <c r="W23" i="4"/>
  <c r="W16" i="4"/>
  <c r="W9" i="4"/>
  <c r="BG16" i="2" l="1"/>
  <c r="BH8" i="2" l="1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7" i="2"/>
  <c r="BG8" i="2"/>
  <c r="BG9" i="2"/>
  <c r="BG10" i="2"/>
  <c r="BG11" i="2"/>
  <c r="BG12" i="2"/>
  <c r="BG13" i="2"/>
  <c r="BG14" i="2"/>
  <c r="BG15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P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학년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기계일반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</text>
    </comment>
  </commentList>
</comments>
</file>

<file path=xl/sharedStrings.xml><?xml version="1.0" encoding="utf-8"?>
<sst xmlns="http://schemas.openxmlformats.org/spreadsheetml/2006/main" count="2053" uniqueCount="459">
  <si>
    <t>1학년</t>
  </si>
  <si>
    <t>3학년</t>
  </si>
  <si>
    <t>국어</t>
  </si>
  <si>
    <t>수학</t>
  </si>
  <si>
    <t>영어</t>
  </si>
  <si>
    <t>사회</t>
  </si>
  <si>
    <t>과학</t>
  </si>
  <si>
    <t>국사</t>
  </si>
  <si>
    <t>체육</t>
  </si>
  <si>
    <t>음악</t>
  </si>
  <si>
    <t>진로</t>
  </si>
  <si>
    <t>중어</t>
  </si>
  <si>
    <t>정 밀 기 계 과</t>
  </si>
  <si>
    <t>류</t>
  </si>
  <si>
    <t>균</t>
  </si>
  <si>
    <t>원</t>
  </si>
  <si>
    <t>남</t>
  </si>
  <si>
    <t>모</t>
  </si>
  <si>
    <t xml:space="preserve"> 1-2</t>
  </si>
  <si>
    <t xml:space="preserve"> 1-3</t>
  </si>
  <si>
    <t xml:space="preserve"> 2-3</t>
  </si>
  <si>
    <t xml:space="preserve"> 3-3</t>
  </si>
  <si>
    <t xml:space="preserve"> 3-4</t>
  </si>
  <si>
    <t xml:space="preserve"> 3-5</t>
  </si>
  <si>
    <t>손</t>
    <phoneticPr fontId="1" type="noConversion"/>
  </si>
  <si>
    <t>김</t>
    <phoneticPr fontId="1" type="noConversion"/>
  </si>
  <si>
    <t>이</t>
    <phoneticPr fontId="1" type="noConversion"/>
  </si>
  <si>
    <t xml:space="preserve">요
일  </t>
    <phoneticPr fontId="1" type="noConversion"/>
  </si>
  <si>
    <t>시
간</t>
    <phoneticPr fontId="1" type="noConversion"/>
  </si>
  <si>
    <t>2학년</t>
    <phoneticPr fontId="1" type="noConversion"/>
  </si>
  <si>
    <t>대</t>
    <phoneticPr fontId="1" type="noConversion"/>
  </si>
  <si>
    <t>재</t>
    <phoneticPr fontId="1" type="noConversion"/>
  </si>
  <si>
    <t>영</t>
    <phoneticPr fontId="1" type="noConversion"/>
  </si>
  <si>
    <t xml:space="preserve"> 1-1</t>
    <phoneticPr fontId="1" type="noConversion"/>
  </si>
  <si>
    <t xml:space="preserve"> 2-1</t>
    <phoneticPr fontId="1" type="noConversion"/>
  </si>
  <si>
    <t xml:space="preserve"> 2-2</t>
    <phoneticPr fontId="1" type="noConversion"/>
  </si>
  <si>
    <t xml:space="preserve"> 3-1</t>
    <phoneticPr fontId="1" type="noConversion"/>
  </si>
  <si>
    <t xml:space="preserve"> 3-2</t>
    <phoneticPr fontId="1" type="noConversion"/>
  </si>
  <si>
    <t>선</t>
    <phoneticPr fontId="1" type="noConversion"/>
  </si>
  <si>
    <t>원</t>
    <phoneticPr fontId="1" type="noConversion"/>
  </si>
  <si>
    <t>인</t>
    <phoneticPr fontId="1" type="noConversion"/>
  </si>
  <si>
    <t>수</t>
    <phoneticPr fontId="1" type="noConversion"/>
  </si>
  <si>
    <t>목</t>
    <phoneticPr fontId="1" type="noConversion"/>
  </si>
  <si>
    <t>화</t>
    <phoneticPr fontId="1" type="noConversion"/>
  </si>
  <si>
    <t>지</t>
    <phoneticPr fontId="1" type="noConversion"/>
  </si>
  <si>
    <t>금</t>
    <phoneticPr fontId="1" type="noConversion"/>
  </si>
  <si>
    <t>월</t>
    <phoneticPr fontId="1" type="noConversion"/>
  </si>
  <si>
    <t>지</t>
    <phoneticPr fontId="1" type="noConversion"/>
  </si>
  <si>
    <t>현</t>
    <phoneticPr fontId="1" type="noConversion"/>
  </si>
  <si>
    <t>아</t>
    <phoneticPr fontId="1" type="noConversion"/>
  </si>
  <si>
    <t>정</t>
    <phoneticPr fontId="1" type="noConversion"/>
  </si>
  <si>
    <t>김</t>
    <phoneticPr fontId="1" type="noConversion"/>
  </si>
  <si>
    <t>진</t>
    <phoneticPr fontId="1" type="noConversion"/>
  </si>
  <si>
    <t>경</t>
    <phoneticPr fontId="1" type="noConversion"/>
  </si>
  <si>
    <t>안</t>
    <phoneticPr fontId="1" type="noConversion"/>
  </si>
  <si>
    <t>승</t>
    <phoneticPr fontId="1" type="noConversion"/>
  </si>
  <si>
    <t>득</t>
    <phoneticPr fontId="1" type="noConversion"/>
  </si>
  <si>
    <t>한</t>
    <phoneticPr fontId="1" type="noConversion"/>
  </si>
  <si>
    <t>섭</t>
    <phoneticPr fontId="1" type="noConversion"/>
  </si>
  <si>
    <t>상</t>
    <phoneticPr fontId="1" type="noConversion"/>
  </si>
  <si>
    <t>전</t>
    <phoneticPr fontId="1" type="noConversion"/>
  </si>
  <si>
    <t>욱</t>
    <phoneticPr fontId="1" type="noConversion"/>
  </si>
  <si>
    <t>규</t>
    <phoneticPr fontId="1" type="noConversion"/>
  </si>
  <si>
    <t>동</t>
    <phoneticPr fontId="1" type="noConversion"/>
  </si>
  <si>
    <t>자 동 화 기 계 과</t>
    <phoneticPr fontId="1" type="noConversion"/>
  </si>
  <si>
    <t>김</t>
    <phoneticPr fontId="1" type="noConversion"/>
  </si>
  <si>
    <t>학</t>
    <phoneticPr fontId="1" type="noConversion"/>
  </si>
  <si>
    <t>측정</t>
    <phoneticPr fontId="1" type="noConversion"/>
  </si>
  <si>
    <t>물리</t>
    <phoneticPr fontId="1" type="noConversion"/>
  </si>
  <si>
    <t xml:space="preserve"> 1-4</t>
    <phoneticPr fontId="1" type="noConversion"/>
  </si>
  <si>
    <t>도제</t>
    <phoneticPr fontId="1" type="noConversion"/>
  </si>
  <si>
    <t>정밀</t>
    <phoneticPr fontId="1" type="noConversion"/>
  </si>
  <si>
    <t>소프</t>
    <phoneticPr fontId="1" type="noConversion"/>
  </si>
  <si>
    <t>자동화</t>
    <phoneticPr fontId="1" type="noConversion"/>
  </si>
  <si>
    <t>과목</t>
    <phoneticPr fontId="1" type="noConversion"/>
  </si>
  <si>
    <t>단위수</t>
    <phoneticPr fontId="1" type="noConversion"/>
  </si>
  <si>
    <t>능력단위명</t>
    <phoneticPr fontId="1" type="noConversion"/>
  </si>
  <si>
    <t>능력단위코드</t>
    <phoneticPr fontId="1" type="noConversion"/>
  </si>
  <si>
    <t>교사(주당시수)</t>
    <phoneticPr fontId="1" type="noConversion"/>
  </si>
  <si>
    <t>수업학급</t>
    <phoneticPr fontId="1" type="noConversion"/>
  </si>
  <si>
    <t>선반가공</t>
    <phoneticPr fontId="1" type="noConversion"/>
  </si>
  <si>
    <t>2학년 1반</t>
    <phoneticPr fontId="1" type="noConversion"/>
  </si>
  <si>
    <t>기계요소설계</t>
    <phoneticPr fontId="1" type="noConversion"/>
  </si>
  <si>
    <t>컴퓨터활용생산</t>
    <phoneticPr fontId="1" type="noConversion"/>
  </si>
  <si>
    <t>밀링가공</t>
    <phoneticPr fontId="1" type="noConversion"/>
  </si>
  <si>
    <t>2학년 2반</t>
    <phoneticPr fontId="1" type="noConversion"/>
  </si>
  <si>
    <t>사출금형설계</t>
    <phoneticPr fontId="1" type="noConversion"/>
  </si>
  <si>
    <t>2학년 3반</t>
    <phoneticPr fontId="1" type="noConversion"/>
  </si>
  <si>
    <t>기계수동조립</t>
    <phoneticPr fontId="1" type="noConversion"/>
  </si>
  <si>
    <t>2학년 4,5반</t>
    <phoneticPr fontId="1" type="noConversion"/>
  </si>
  <si>
    <t>기계소프트웨어개발</t>
    <phoneticPr fontId="1" type="noConversion"/>
  </si>
  <si>
    <t>3학년 1반</t>
    <phoneticPr fontId="1" type="noConversion"/>
  </si>
  <si>
    <t>정밀측정</t>
    <phoneticPr fontId="1" type="noConversion"/>
  </si>
  <si>
    <t>3학년 2반</t>
    <phoneticPr fontId="1" type="noConversion"/>
  </si>
  <si>
    <t>체결요소설계</t>
    <phoneticPr fontId="1" type="noConversion"/>
  </si>
  <si>
    <t>1501020106_16v3</t>
    <phoneticPr fontId="1" type="noConversion"/>
  </si>
  <si>
    <t>시간표</t>
    <phoneticPr fontId="1" type="noConversion"/>
  </si>
  <si>
    <t>만</t>
    <phoneticPr fontId="1" type="noConversion"/>
  </si>
  <si>
    <t>종</t>
    <phoneticPr fontId="1" type="noConversion"/>
  </si>
  <si>
    <t>단순형상 작업</t>
    <phoneticPr fontId="1" type="noConversion"/>
  </si>
  <si>
    <t>1502010105_14v2</t>
    <phoneticPr fontId="1" type="noConversion"/>
  </si>
  <si>
    <t>1501020112_19v4</t>
    <phoneticPr fontId="1" type="noConversion"/>
  </si>
  <si>
    <t xml:space="preserve"> 2-4</t>
    <phoneticPr fontId="1" type="noConversion"/>
  </si>
  <si>
    <t xml:space="preserve"> 2-5</t>
    <phoneticPr fontId="1" type="noConversion"/>
  </si>
  <si>
    <t xml:space="preserve"> 2-6</t>
    <phoneticPr fontId="1" type="noConversion"/>
  </si>
  <si>
    <t>소프</t>
    <phoneticPr fontId="1" type="noConversion"/>
  </si>
  <si>
    <t>창</t>
    <phoneticPr fontId="1" type="noConversion"/>
  </si>
  <si>
    <t>1502010107_14v2</t>
    <phoneticPr fontId="1" type="noConversion"/>
  </si>
  <si>
    <t>1502010505_20v4</t>
    <phoneticPr fontId="1" type="noConversion"/>
  </si>
  <si>
    <t>컴퓨터 활용 생산</t>
    <phoneticPr fontId="1" type="noConversion"/>
  </si>
  <si>
    <t>조립도면해독</t>
    <phoneticPr fontId="1" type="noConversion"/>
  </si>
  <si>
    <t>1503010111_16v4</t>
    <phoneticPr fontId="1" type="noConversion"/>
  </si>
  <si>
    <t>1501020111_16v3</t>
    <phoneticPr fontId="1" type="noConversion"/>
  </si>
  <si>
    <t>편심·나사 작업(선반 가공)</t>
    <phoneticPr fontId="1" type="noConversion"/>
  </si>
  <si>
    <t>2학년 6반</t>
    <phoneticPr fontId="1" type="noConversion"/>
  </si>
  <si>
    <t>응용 프로그래밍 개발</t>
    <phoneticPr fontId="1" type="noConversion"/>
  </si>
  <si>
    <t>데이터베이스 프로그래밍</t>
    <phoneticPr fontId="1" type="noConversion"/>
  </si>
  <si>
    <t>3D형상모델링작업</t>
    <phoneticPr fontId="1" type="noConversion"/>
  </si>
  <si>
    <t>1501020113_16v3</t>
    <phoneticPr fontId="1" type="noConversion"/>
  </si>
  <si>
    <t xml:space="preserve">CNC선반 조작                 </t>
    <phoneticPr fontId="1" type="noConversion"/>
  </si>
  <si>
    <t>1502010403_18v3</t>
    <phoneticPr fontId="1" type="noConversion"/>
  </si>
  <si>
    <t>1510010222_19v4</t>
    <phoneticPr fontId="1" type="noConversion"/>
  </si>
  <si>
    <t>3학년 3반</t>
    <phoneticPr fontId="1" type="noConversion"/>
  </si>
  <si>
    <t>전기전자장치조립</t>
    <phoneticPr fontId="1" type="noConversion"/>
  </si>
  <si>
    <t>1503010119_16v4</t>
    <phoneticPr fontId="1" type="noConversion"/>
  </si>
  <si>
    <t>3학년 4,5반</t>
    <phoneticPr fontId="1" type="noConversion"/>
  </si>
  <si>
    <t>유압 장치조립</t>
    <phoneticPr fontId="1" type="noConversion"/>
  </si>
  <si>
    <t>1503010117_16v4</t>
    <phoneticPr fontId="1" type="noConversion"/>
  </si>
  <si>
    <t>모터 제어</t>
    <phoneticPr fontId="1" type="noConversion"/>
  </si>
  <si>
    <t>1503010205_14v3</t>
    <phoneticPr fontId="1" type="noConversion"/>
  </si>
  <si>
    <t>HMI 프로그램 개발</t>
  </si>
  <si>
    <t>1503010213_14v3</t>
  </si>
  <si>
    <t>PLC제어 특수 모듈 프로그램 개발</t>
    <phoneticPr fontId="1" type="noConversion"/>
  </si>
  <si>
    <t>1503010211_14v3</t>
    <phoneticPr fontId="1" type="noConversion"/>
  </si>
  <si>
    <t>강</t>
    <phoneticPr fontId="1" type="noConversion"/>
  </si>
  <si>
    <t>훈</t>
    <phoneticPr fontId="1" type="noConversion"/>
  </si>
  <si>
    <t>휘</t>
    <phoneticPr fontId="1" type="noConversion"/>
  </si>
  <si>
    <t>정</t>
    <phoneticPr fontId="1" type="noConversion"/>
  </si>
  <si>
    <t>도</t>
    <phoneticPr fontId="1" type="noConversion"/>
  </si>
  <si>
    <t>마</t>
    <phoneticPr fontId="1" type="noConversion"/>
  </si>
  <si>
    <t>미</t>
    <phoneticPr fontId="1" type="noConversion"/>
  </si>
  <si>
    <t>민</t>
    <phoneticPr fontId="1" type="noConversion"/>
  </si>
  <si>
    <t>봉/동</t>
    <phoneticPr fontId="1" type="noConversion"/>
  </si>
  <si>
    <t>자/동</t>
    <phoneticPr fontId="1" type="noConversion"/>
  </si>
  <si>
    <t>자/동</t>
    <phoneticPr fontId="1" type="noConversion"/>
  </si>
  <si>
    <t>창의적 체험활동(자율, 봉사, 동아리) 제외 순수 수업시간</t>
    <phoneticPr fontId="1" type="noConversion"/>
  </si>
  <si>
    <t>시
간</t>
    <phoneticPr fontId="1" type="noConversion"/>
  </si>
  <si>
    <t>요
일</t>
    <phoneticPr fontId="1" type="noConversion"/>
  </si>
  <si>
    <t>계</t>
    <phoneticPr fontId="1" type="noConversion"/>
  </si>
  <si>
    <t>계</t>
    <phoneticPr fontId="1" type="noConversion"/>
  </si>
  <si>
    <t xml:space="preserve"> 3-6</t>
    <phoneticPr fontId="1" type="noConversion"/>
  </si>
  <si>
    <t>소프</t>
    <phoneticPr fontId="1" type="noConversion"/>
  </si>
  <si>
    <t>홍</t>
    <phoneticPr fontId="1" type="noConversion"/>
  </si>
  <si>
    <t>서</t>
    <phoneticPr fontId="1" type="noConversion"/>
  </si>
  <si>
    <t>주</t>
    <phoneticPr fontId="1" type="noConversion"/>
  </si>
  <si>
    <t>영</t>
    <phoneticPr fontId="1" type="noConversion"/>
  </si>
  <si>
    <t>성</t>
    <phoneticPr fontId="1" type="noConversion"/>
  </si>
  <si>
    <t>김</t>
    <phoneticPr fontId="1" type="noConversion"/>
  </si>
  <si>
    <t>창</t>
    <phoneticPr fontId="1" type="noConversion"/>
  </si>
  <si>
    <t>훈</t>
    <phoneticPr fontId="1" type="noConversion"/>
  </si>
  <si>
    <t>과학</t>
    <phoneticPr fontId="1" type="noConversion"/>
  </si>
  <si>
    <t xml:space="preserve"> 3-5</t>
    <phoneticPr fontId="1" type="noConversion"/>
  </si>
  <si>
    <t>1502010104_16v4</t>
  </si>
  <si>
    <t>비교측정(측정)</t>
    <phoneticPr fontId="1" type="noConversion"/>
  </si>
  <si>
    <t>1502010506_20v4</t>
  </si>
  <si>
    <t>사출금형 3D 프린팅 활용 시제품 제작(사출 금형 제작)</t>
    <phoneticPr fontId="1" type="noConversion"/>
  </si>
  <si>
    <t>1510010224_19v1</t>
  </si>
  <si>
    <t>CNC선반 가공 프로그래밍</t>
    <phoneticPr fontId="1" type="noConversion"/>
  </si>
  <si>
    <t>1502010404_18v5</t>
  </si>
  <si>
    <t>CNC밀링(머시닝센터)조작</t>
    <phoneticPr fontId="1" type="noConversion"/>
  </si>
  <si>
    <t>1502010405_18v3</t>
  </si>
  <si>
    <t>사출금형 2D도면작성</t>
    <phoneticPr fontId="1" type="noConversion"/>
  </si>
  <si>
    <t>1510010109_19v3</t>
  </si>
  <si>
    <t>사출금형 기초 3D 모델링</t>
    <phoneticPr fontId="1" type="noConversion"/>
  </si>
  <si>
    <t>1510010118_19v1</t>
  </si>
  <si>
    <t>사출금형제작</t>
    <phoneticPr fontId="1" type="noConversion"/>
  </si>
  <si>
    <t>사출금형 기초 부품가공 프로그램</t>
    <phoneticPr fontId="1" type="noConversion"/>
  </si>
  <si>
    <t>사출금형 3D 프린팅 활용 시제품 제작</t>
    <phoneticPr fontId="1" type="noConversion"/>
  </si>
  <si>
    <t>CNC밀링(머시닝센터) 가공 CAM 프로그래밍</t>
    <phoneticPr fontId="1" type="noConversion"/>
  </si>
  <si>
    <t>1502010408_18v5</t>
  </si>
  <si>
    <t>기계 요소 설계</t>
    <phoneticPr fontId="1" type="noConversion"/>
  </si>
  <si>
    <t>1501020106_16v3</t>
  </si>
  <si>
    <t>도면분석</t>
    <phoneticPr fontId="1" type="noConversion"/>
  </si>
  <si>
    <t>1501020115_16v3</t>
  </si>
  <si>
    <t>치공구요소설계</t>
    <phoneticPr fontId="1" type="noConversion"/>
  </si>
  <si>
    <t>1501020108_16v3</t>
  </si>
  <si>
    <t>1502010204_16v4</t>
  </si>
  <si>
    <t>기본공구 사용(성형가공)</t>
    <phoneticPr fontId="1" type="noConversion"/>
  </si>
  <si>
    <t>1502010603_14v2</t>
  </si>
  <si>
    <t>애플리케이션 테스트 수행</t>
    <phoneticPr fontId="1" type="noConversion"/>
  </si>
  <si>
    <t>응용 SW 기초 기술 활용</t>
  </si>
  <si>
    <t>SQL활용</t>
  </si>
  <si>
    <t>2001020413_19v4</t>
  </si>
  <si>
    <t>데이터베이스 구현</t>
  </si>
  <si>
    <t>2001020405_19v4</t>
  </si>
  <si>
    <t>시스템 관리 및 지원</t>
    <phoneticPr fontId="1" type="noConversion"/>
  </si>
  <si>
    <t>응용SW 운영관리</t>
  </si>
  <si>
    <t>2001030105_19v4</t>
  </si>
  <si>
    <t>IT 시스템 사용자 지원</t>
  </si>
  <si>
    <t>2001030110_16v3</t>
  </si>
  <si>
    <t>스마트문화앱콘텐츠제작</t>
    <phoneticPr fontId="1" type="noConversion"/>
  </si>
  <si>
    <t xml:space="preserve"> 3-5</t>
    <phoneticPr fontId="1" type="noConversion"/>
  </si>
  <si>
    <t xml:space="preserve"> 3-6</t>
    <phoneticPr fontId="1" type="noConversion"/>
  </si>
  <si>
    <t>소프</t>
    <phoneticPr fontId="1" type="noConversion"/>
  </si>
  <si>
    <t>3학년 6반</t>
    <phoneticPr fontId="1" type="noConversion"/>
  </si>
  <si>
    <t>소프트웨어과</t>
    <phoneticPr fontId="1" type="noConversion"/>
  </si>
  <si>
    <r>
      <rPr>
        <sz val="11"/>
        <color theme="1"/>
        <rFont val="맑은 고딕"/>
        <family val="3"/>
        <charset val="129"/>
      </rPr>
      <t>3학년 자율 활동</t>
    </r>
    <r>
      <rPr>
        <sz val="11"/>
        <color theme="1"/>
        <rFont val="맑은 고딕"/>
        <family val="3"/>
        <charset val="129"/>
        <scheme val="minor"/>
      </rPr>
      <t xml:space="preserve"> 0.5시간</t>
    </r>
    <phoneticPr fontId="1" type="noConversion"/>
  </si>
  <si>
    <t>3학년 동아리 활동 1시간</t>
    <phoneticPr fontId="1" type="noConversion"/>
  </si>
  <si>
    <t>3학년 봉사 활동 0.5시간</t>
    <phoneticPr fontId="1" type="noConversion"/>
  </si>
  <si>
    <t>3학년 진로 활동 1시간</t>
    <phoneticPr fontId="1" type="noConversion"/>
  </si>
  <si>
    <r>
      <t>1·2학년 자율</t>
    </r>
    <r>
      <rPr>
        <sz val="11"/>
        <color theme="1"/>
        <rFont val="맑은 고딕"/>
        <family val="3"/>
        <charset val="129"/>
      </rPr>
      <t>·자치 활동</t>
    </r>
    <r>
      <rPr>
        <sz val="11"/>
        <color theme="1"/>
        <rFont val="맑은 고딕"/>
        <family val="3"/>
        <charset val="129"/>
        <scheme val="minor"/>
      </rPr>
      <t xml:space="preserve"> 1시간</t>
    </r>
    <phoneticPr fontId="1" type="noConversion"/>
  </si>
  <si>
    <t>1·2학년 동아리 활동 1시간</t>
    <phoneticPr fontId="1" type="noConversion"/>
  </si>
  <si>
    <t>1·2학년 진로 활동 1시간</t>
    <phoneticPr fontId="1" type="noConversion"/>
  </si>
  <si>
    <t>박</t>
    <phoneticPr fontId="1" type="noConversion"/>
  </si>
  <si>
    <t>애</t>
    <phoneticPr fontId="1" type="noConversion"/>
  </si>
  <si>
    <t>란</t>
    <phoneticPr fontId="1" type="noConversion"/>
  </si>
  <si>
    <t>2026학년도 1학기</t>
    <phoneticPr fontId="1" type="noConversion"/>
  </si>
  <si>
    <t>담임 시간</t>
    <phoneticPr fontId="1" type="noConversion"/>
  </si>
  <si>
    <t>담임 시간</t>
    <phoneticPr fontId="1" type="noConversion"/>
  </si>
  <si>
    <t>준</t>
    <phoneticPr fontId="1" type="noConversion"/>
  </si>
  <si>
    <t>우</t>
    <phoneticPr fontId="1" type="noConversion"/>
  </si>
  <si>
    <t>음악</t>
    <phoneticPr fontId="1" type="noConversion"/>
  </si>
  <si>
    <t>측정기 유지관리</t>
    <phoneticPr fontId="1" type="noConversion"/>
  </si>
  <si>
    <t>1502010508_20v4</t>
    <phoneticPr fontId="1" type="noConversion"/>
  </si>
  <si>
    <t>1학년 1,2,3반</t>
    <phoneticPr fontId="1" type="noConversion"/>
  </si>
  <si>
    <t>측정기 유지관리(측정)</t>
    <phoneticPr fontId="1" type="noConversion"/>
  </si>
  <si>
    <t>1502010404_18v5</t>
    <phoneticPr fontId="1" type="noConversion"/>
  </si>
  <si>
    <t>CNC선반 조작</t>
    <phoneticPr fontId="1" type="noConversion"/>
  </si>
  <si>
    <t>탭·드릴·보링 가공(밀링가공)</t>
    <phoneticPr fontId="1" type="noConversion"/>
  </si>
  <si>
    <t>1501020213_16v3</t>
    <phoneticPr fontId="1" type="noConversion"/>
  </si>
  <si>
    <t>조립안전관리</t>
    <phoneticPr fontId="1" type="noConversion"/>
  </si>
  <si>
    <t>1503010122_16v1</t>
    <phoneticPr fontId="1" type="noConversion"/>
  </si>
  <si>
    <t>2D도면작업
(기계요소설계)</t>
    <phoneticPr fontId="1" type="noConversion"/>
  </si>
  <si>
    <t>2D도면관리
(기계요소설계)</t>
    <phoneticPr fontId="1" type="noConversion"/>
  </si>
  <si>
    <t>편심 · 나사 작업
(선반가공)</t>
    <phoneticPr fontId="1" type="noConversion"/>
  </si>
  <si>
    <t>탭·드릴·보링 가공
(밀링가공)</t>
    <phoneticPr fontId="1" type="noConversion"/>
  </si>
  <si>
    <t>공기압 장치조립</t>
    <phoneticPr fontId="1" type="noConversion"/>
  </si>
  <si>
    <t>1503010116_16v4</t>
    <phoneticPr fontId="1" type="noConversion"/>
  </si>
  <si>
    <t>공기압 제어
(기계소프트웨어개발)</t>
    <phoneticPr fontId="1" type="noConversion"/>
  </si>
  <si>
    <t>1503010215_16v4</t>
    <phoneticPr fontId="1" type="noConversion"/>
  </si>
  <si>
    <t>조립도면작성</t>
    <phoneticPr fontId="1" type="noConversion"/>
  </si>
  <si>
    <t>1503010216_16v4</t>
    <phoneticPr fontId="1" type="noConversion"/>
  </si>
  <si>
    <t>센서 활용 기술
(기계소프트웨어개발)</t>
    <phoneticPr fontId="1" type="noConversion"/>
  </si>
  <si>
    <t>1503010204_14v3</t>
    <phoneticPr fontId="1" type="noConversion"/>
  </si>
  <si>
    <t>개발자 환경 구축
(응용SW엔지니어링)</t>
  </si>
  <si>
    <t>2001020233_23v5</t>
  </si>
  <si>
    <t>화면구현
(응용SW엔지니어링)</t>
  </si>
  <si>
    <t>2001020225_23v6</t>
  </si>
  <si>
    <t>프로그래밍 언어 응용
(응용SW엔지니어링)</t>
  </si>
  <si>
    <t>2001020230_23v5</t>
  </si>
  <si>
    <t>애플리케이션 테스트 수행</t>
  </si>
  <si>
    <t>2001020227_23v6</t>
  </si>
  <si>
    <t>기본 작업(선반가공)</t>
    <phoneticPr fontId="1" type="noConversion"/>
  </si>
  <si>
    <t>기본 작업(밀링 가공)</t>
    <phoneticPr fontId="1" type="noConversion"/>
  </si>
  <si>
    <t>기계 수동 조립</t>
    <phoneticPr fontId="1" type="noConversion"/>
  </si>
  <si>
    <t>2001020227_23v6</t>
    <phoneticPr fontId="1" type="noConversion"/>
  </si>
  <si>
    <t>2001020232_23v5</t>
    <phoneticPr fontId="1" type="noConversion"/>
  </si>
  <si>
    <t>스마트문화앱 사용자 조사분석</t>
  </si>
  <si>
    <t>0803020910_24v4</t>
  </si>
  <si>
    <t>스마트문화앱 UX 설계</t>
  </si>
  <si>
    <t>0803020911_24v4</t>
  </si>
  <si>
    <t>스마트문화앱 UI 디자인</t>
  </si>
  <si>
    <t>0803020912_24v4</t>
  </si>
  <si>
    <t>스마트문화앱 구현</t>
  </si>
  <si>
    <t>0803020913_24v4</t>
  </si>
  <si>
    <t>윤</t>
    <phoneticPr fontId="1" type="noConversion"/>
  </si>
  <si>
    <t>승</t>
    <phoneticPr fontId="1" type="noConversion"/>
  </si>
  <si>
    <t>민</t>
    <phoneticPr fontId="1" type="noConversion"/>
  </si>
  <si>
    <t>정</t>
    <phoneticPr fontId="1" type="noConversion"/>
  </si>
  <si>
    <t>하</t>
    <phoneticPr fontId="1" type="noConversion"/>
  </si>
  <si>
    <t>륜</t>
    <phoneticPr fontId="1" type="noConversion"/>
  </si>
  <si>
    <t>이</t>
    <phoneticPr fontId="1" type="noConversion"/>
  </si>
  <si>
    <t>함</t>
    <phoneticPr fontId="1" type="noConversion"/>
  </si>
  <si>
    <t>윤</t>
    <phoneticPr fontId="1" type="noConversion"/>
  </si>
  <si>
    <t>형</t>
    <phoneticPr fontId="1" type="noConversion"/>
  </si>
  <si>
    <t>백</t>
    <phoneticPr fontId="1" type="noConversion"/>
  </si>
  <si>
    <t>두</t>
    <phoneticPr fontId="1" type="noConversion"/>
  </si>
  <si>
    <t>산</t>
    <phoneticPr fontId="1" type="noConversion"/>
  </si>
  <si>
    <t>컴생</t>
    <phoneticPr fontId="1" type="noConversion"/>
  </si>
  <si>
    <t>기조</t>
    <phoneticPr fontId="1" type="noConversion"/>
  </si>
  <si>
    <t>기요</t>
    <phoneticPr fontId="1" type="noConversion"/>
  </si>
  <si>
    <t>측정</t>
    <phoneticPr fontId="1" type="noConversion"/>
  </si>
  <si>
    <t>기일</t>
    <phoneticPr fontId="1" type="noConversion"/>
  </si>
  <si>
    <t>기공</t>
    <phoneticPr fontId="1" type="noConversion"/>
  </si>
  <si>
    <t>성직</t>
    <phoneticPr fontId="1" type="noConversion"/>
  </si>
  <si>
    <t>프로</t>
    <phoneticPr fontId="1" type="noConversion"/>
  </si>
  <si>
    <t>사출</t>
    <phoneticPr fontId="1" type="noConversion"/>
  </si>
  <si>
    <t>사설</t>
    <phoneticPr fontId="1" type="noConversion"/>
  </si>
  <si>
    <t>밀링</t>
    <phoneticPr fontId="1" type="noConversion"/>
  </si>
  <si>
    <t>선반</t>
    <phoneticPr fontId="1" type="noConversion"/>
  </si>
  <si>
    <t>기프</t>
    <phoneticPr fontId="1" type="noConversion"/>
  </si>
  <si>
    <t>장</t>
    <phoneticPr fontId="1" type="noConversion"/>
  </si>
  <si>
    <t>여</t>
    <phoneticPr fontId="1" type="noConversion"/>
  </si>
  <si>
    <t>경</t>
    <phoneticPr fontId="1" type="noConversion"/>
  </si>
  <si>
    <t>최</t>
    <phoneticPr fontId="1" type="noConversion"/>
  </si>
  <si>
    <t>지</t>
    <phoneticPr fontId="1" type="noConversion"/>
  </si>
  <si>
    <t>웅</t>
    <phoneticPr fontId="1" type="noConversion"/>
  </si>
  <si>
    <t>박</t>
    <phoneticPr fontId="1" type="noConversion"/>
  </si>
  <si>
    <t>용</t>
    <phoneticPr fontId="1" type="noConversion"/>
  </si>
  <si>
    <t>신</t>
    <phoneticPr fontId="1" type="noConversion"/>
  </si>
  <si>
    <t>세</t>
    <phoneticPr fontId="1" type="noConversion"/>
  </si>
  <si>
    <t>연</t>
    <phoneticPr fontId="1" type="noConversion"/>
  </si>
  <si>
    <t>진로</t>
    <phoneticPr fontId="1" type="noConversion"/>
  </si>
  <si>
    <t>전자</t>
    <phoneticPr fontId="1" type="noConversion"/>
  </si>
  <si>
    <t>나</t>
    <phoneticPr fontId="1" type="noConversion"/>
  </si>
  <si>
    <t>은</t>
    <phoneticPr fontId="1" type="noConversion"/>
  </si>
  <si>
    <t>도</t>
    <phoneticPr fontId="1" type="noConversion"/>
  </si>
  <si>
    <t>미</t>
    <phoneticPr fontId="1" type="noConversion"/>
  </si>
  <si>
    <t>영</t>
    <phoneticPr fontId="1" type="noConversion"/>
  </si>
  <si>
    <t>김</t>
    <phoneticPr fontId="1" type="noConversion"/>
  </si>
  <si>
    <t>건</t>
    <phoneticPr fontId="1" type="noConversion"/>
  </si>
  <si>
    <t>우</t>
    <phoneticPr fontId="1" type="noConversion"/>
  </si>
  <si>
    <t>건</t>
    <phoneticPr fontId="1" type="noConversion"/>
  </si>
  <si>
    <t>스생</t>
    <phoneticPr fontId="1" type="noConversion"/>
  </si>
  <si>
    <t>체탐</t>
    <phoneticPr fontId="1" type="noConversion"/>
  </si>
  <si>
    <t>남</t>
    <phoneticPr fontId="1" type="noConversion"/>
  </si>
  <si>
    <t>스앱</t>
    <phoneticPr fontId="1" type="noConversion"/>
  </si>
  <si>
    <t>응프</t>
    <phoneticPr fontId="1" type="noConversion"/>
  </si>
  <si>
    <t>DB</t>
    <phoneticPr fontId="1" type="noConversion"/>
  </si>
  <si>
    <t>시관</t>
    <phoneticPr fontId="1" type="noConversion"/>
  </si>
  <si>
    <t>은</t>
    <phoneticPr fontId="1" type="noConversion"/>
  </si>
  <si>
    <t>안승득(2)</t>
    <phoneticPr fontId="1" type="noConversion"/>
  </si>
  <si>
    <t>안승득(1)</t>
    <phoneticPr fontId="1" type="noConversion"/>
  </si>
  <si>
    <t>1학년 1반 목(5, 6교시), 1학년 2반 금(2, 3교시), 1학년 3반 화(1, 2교시)</t>
    <phoneticPr fontId="1" type="noConversion"/>
  </si>
  <si>
    <t>1학년 1반 목(7교시), 1학년 2반 금(4교시), 1학년 3반 화(3교시)</t>
    <phoneticPr fontId="1" type="noConversion"/>
  </si>
  <si>
    <t>이진규(3)</t>
    <phoneticPr fontId="1" type="noConversion"/>
  </si>
  <si>
    <t>이진규(1)</t>
    <phoneticPr fontId="1" type="noConversion"/>
  </si>
  <si>
    <t>이진규(4)</t>
    <phoneticPr fontId="1" type="noConversion"/>
  </si>
  <si>
    <t>이진규(5)</t>
    <phoneticPr fontId="1" type="noConversion"/>
  </si>
  <si>
    <t>이진규(2)</t>
    <phoneticPr fontId="1" type="noConversion"/>
  </si>
  <si>
    <t>수(5, 6교시), 목(3교시)</t>
    <phoneticPr fontId="1" type="noConversion"/>
  </si>
  <si>
    <t>목(4교시)</t>
    <phoneticPr fontId="1" type="noConversion"/>
  </si>
  <si>
    <t>월(2, 3, 4교시), 화(5교시)</t>
    <phoneticPr fontId="1" type="noConversion"/>
  </si>
  <si>
    <t>화(6, 7교시), 수(7교시), 목(5, 6교시)</t>
    <phoneticPr fontId="1" type="noConversion"/>
  </si>
  <si>
    <t>목(7교시), 금(2교시)</t>
    <phoneticPr fontId="1" type="noConversion"/>
  </si>
  <si>
    <t>금(3, 4교시)</t>
    <phoneticPr fontId="1" type="noConversion"/>
  </si>
  <si>
    <t>안승득(3)</t>
    <phoneticPr fontId="1" type="noConversion"/>
  </si>
  <si>
    <t>수(3, 4교시), 목(1교시)</t>
    <phoneticPr fontId="1" type="noConversion"/>
  </si>
  <si>
    <t>목(2교시)</t>
    <phoneticPr fontId="1" type="noConversion"/>
  </si>
  <si>
    <t>이학수(4)</t>
    <phoneticPr fontId="1" type="noConversion"/>
  </si>
  <si>
    <t>이학수(2)</t>
    <phoneticPr fontId="1" type="noConversion"/>
  </si>
  <si>
    <t>함윤형(4)</t>
    <phoneticPr fontId="1" type="noConversion"/>
  </si>
  <si>
    <t>월(5, 6교시), 화(5, 6교시)</t>
    <phoneticPr fontId="1" type="noConversion"/>
  </si>
  <si>
    <t>이학수(2), 함윤형(1)</t>
    <phoneticPr fontId="1" type="noConversion"/>
  </si>
  <si>
    <t>이학수-수(1, 2교시), 함윤형-화(7교시)</t>
    <phoneticPr fontId="1" type="noConversion"/>
  </si>
  <si>
    <t>한인섭(5)</t>
    <phoneticPr fontId="1" type="noConversion"/>
  </si>
  <si>
    <t>월(3, 4교시), 화(2교시)</t>
    <phoneticPr fontId="1" type="noConversion"/>
  </si>
  <si>
    <t>화(3교시)</t>
    <phoneticPr fontId="1" type="noConversion"/>
  </si>
  <si>
    <t>목(1, 2, 3, 4교시)</t>
    <phoneticPr fontId="1" type="noConversion"/>
  </si>
  <si>
    <t>수(1, 2, 3교시), 목(6, 7교시)</t>
    <phoneticPr fontId="1" type="noConversion"/>
  </si>
  <si>
    <t>수(5, 6교시)</t>
    <phoneticPr fontId="1" type="noConversion"/>
  </si>
  <si>
    <t>수(7교시), 목(5교시)</t>
    <phoneticPr fontId="1" type="noConversion"/>
  </si>
  <si>
    <t>함윤형(2)</t>
    <phoneticPr fontId="1" type="noConversion"/>
  </si>
  <si>
    <t>함윤형(3)</t>
    <phoneticPr fontId="1" type="noConversion"/>
  </si>
  <si>
    <t>함윤형(1)</t>
    <phoneticPr fontId="1" type="noConversion"/>
  </si>
  <si>
    <t>이상목(4)</t>
    <phoneticPr fontId="1" type="noConversion"/>
  </si>
  <si>
    <t>백두산(3)</t>
    <phoneticPr fontId="1" type="noConversion"/>
  </si>
  <si>
    <t>전영욱(3)</t>
    <phoneticPr fontId="1" type="noConversion"/>
  </si>
  <si>
    <t>신세연(2)</t>
    <phoneticPr fontId="1" type="noConversion"/>
  </si>
  <si>
    <t>정하륜(2)</t>
    <phoneticPr fontId="1" type="noConversion"/>
  </si>
  <si>
    <t>전영욱(4)</t>
    <phoneticPr fontId="1" type="noConversion"/>
  </si>
  <si>
    <t>이상목(3)</t>
    <phoneticPr fontId="1" type="noConversion"/>
  </si>
  <si>
    <t>한인섭(4)</t>
    <phoneticPr fontId="1" type="noConversion"/>
  </si>
  <si>
    <t>한인섭(2)</t>
    <phoneticPr fontId="1" type="noConversion"/>
  </si>
  <si>
    <t>한인섭(1)</t>
    <phoneticPr fontId="1" type="noConversion"/>
  </si>
  <si>
    <t>정하륜(4)</t>
    <phoneticPr fontId="1" type="noConversion"/>
  </si>
  <si>
    <t>목(4교시), 금(1교시)</t>
    <phoneticPr fontId="1" type="noConversion"/>
  </si>
  <si>
    <t>금(2, 3, 4교시)</t>
    <phoneticPr fontId="1" type="noConversion"/>
  </si>
  <si>
    <t>목(5, 6교시)</t>
    <phoneticPr fontId="1" type="noConversion"/>
  </si>
  <si>
    <t>목(7교시)</t>
    <phoneticPr fontId="1" type="noConversion"/>
  </si>
  <si>
    <t>월(1, 2, 3교시), 목(1교시)</t>
    <phoneticPr fontId="1" type="noConversion"/>
  </si>
  <si>
    <t>화(1, 2, 3교시), 목(2교시)</t>
    <phoneticPr fontId="1" type="noConversion"/>
  </si>
  <si>
    <t>수(1, 2, 3교시) 목(3교시)</t>
    <phoneticPr fontId="1" type="noConversion"/>
  </si>
  <si>
    <t>수(5, 6, 7교시)</t>
    <phoneticPr fontId="1" type="noConversion"/>
  </si>
  <si>
    <t>금(1, 2, 3교시)</t>
    <phoneticPr fontId="1" type="noConversion"/>
  </si>
  <si>
    <t>목(6, 7교시)</t>
    <phoneticPr fontId="1" type="noConversion"/>
  </si>
  <si>
    <t>목(4, 5교시)</t>
    <phoneticPr fontId="1" type="noConversion"/>
  </si>
  <si>
    <t>수(1, 2, 3교시), 목(3교시)</t>
    <phoneticPr fontId="1" type="noConversion"/>
  </si>
  <si>
    <t>목(3교시), 금1교시)</t>
    <phoneticPr fontId="1" type="noConversion"/>
  </si>
  <si>
    <t>화(1, 2, 3, 4교시)</t>
    <phoneticPr fontId="1" type="noConversion"/>
  </si>
  <si>
    <t>수(1, 2, 3교시), 목(2교시)</t>
    <phoneticPr fontId="1" type="noConversion"/>
  </si>
  <si>
    <t>장여경(6)</t>
    <phoneticPr fontId="1" type="noConversion"/>
  </si>
  <si>
    <t>장여경(8)</t>
    <phoneticPr fontId="1" type="noConversion"/>
  </si>
  <si>
    <t>최지웅(4)</t>
    <phoneticPr fontId="1" type="noConversion"/>
  </si>
  <si>
    <t>2학년 4반(금 1, 2, 3교시), 2학년 5반(수 1, 2, 3교시)</t>
    <phoneticPr fontId="1" type="noConversion"/>
  </si>
  <si>
    <t>2학년 4반 월(5, 6교시), 수(5, 6교시), 2학년 5반 화(3, 4교시), 목(5, 6교시)</t>
    <phoneticPr fontId="1" type="noConversion"/>
  </si>
  <si>
    <t>이도마(4), 장여경(2), 신세연(2)</t>
    <phoneticPr fontId="1" type="noConversion"/>
  </si>
  <si>
    <t>2학년 4반 월(3, 4교시), 2학년 5반 월(5, 6교시)</t>
    <phoneticPr fontId="1" type="noConversion"/>
  </si>
  <si>
    <t>박정용(6)</t>
    <phoneticPr fontId="1" type="noConversion"/>
  </si>
  <si>
    <t>김동원(3), 박정용(3)</t>
    <phoneticPr fontId="1" type="noConversion"/>
  </si>
  <si>
    <t>최지웅(6)</t>
    <phoneticPr fontId="1" type="noConversion"/>
  </si>
  <si>
    <t>김동원(4), 이도마(4)</t>
    <phoneticPr fontId="1" type="noConversion"/>
  </si>
  <si>
    <t>김동원(3), 이도마(3)</t>
    <phoneticPr fontId="1" type="noConversion"/>
  </si>
  <si>
    <t>김동원(5), 이도마(5)</t>
    <phoneticPr fontId="1" type="noConversion"/>
  </si>
  <si>
    <t>3학년 4반 화(5, 6교시), 목(4교시), 3학년 5반 월(5, 6교시), 수(6교시)</t>
    <phoneticPr fontId="1" type="noConversion"/>
  </si>
  <si>
    <t>3학년 4반 박정용-목(5교시), 김동원-금(3, 4교시), 3학년 5반 박정용-수(7교시), 금(2교시), 김동원-월(6교시)</t>
    <phoneticPr fontId="1" type="noConversion"/>
  </si>
  <si>
    <t>3학년 4반-수(4교시), 목(6, 7교시), 3학년 5반-화(7교시), 금(3, 4교시)</t>
    <phoneticPr fontId="1" type="noConversion"/>
  </si>
  <si>
    <t>3학년 4반 김동원-월(2, 3, 4교시), 화(1교시), 3학년 5반 이도마-월(2, 3, 4교시), 화(1교시)</t>
    <phoneticPr fontId="1" type="noConversion"/>
  </si>
  <si>
    <t>3학년 4반 김동원-화(2, 3교시), 수(1교시), 3학년 5반 이도마-화(2, 3교시), 수(1교시)</t>
    <phoneticPr fontId="1" type="noConversion"/>
  </si>
  <si>
    <t>3학년 4반 김동원-수(2, 3교시), 목(1, 2, 3교시), 3학년 5반 이도마-수(2, 3교시), 목(1, 2, 3교시)</t>
    <phoneticPr fontId="1" type="noConversion"/>
  </si>
  <si>
    <t>도미영(3)</t>
    <phoneticPr fontId="1" type="noConversion"/>
  </si>
  <si>
    <t>도미영(4)</t>
    <phoneticPr fontId="1" type="noConversion"/>
  </si>
  <si>
    <t>박애란(4)</t>
    <phoneticPr fontId="1" type="noConversion"/>
  </si>
  <si>
    <t>김창훈(3)</t>
    <phoneticPr fontId="1" type="noConversion"/>
  </si>
  <si>
    <t>김창훈(4)</t>
    <phoneticPr fontId="1" type="noConversion"/>
  </si>
  <si>
    <t>김창훈(2)</t>
    <phoneticPr fontId="1" type="noConversion"/>
  </si>
  <si>
    <t>도미영(2)</t>
    <phoneticPr fontId="1" type="noConversion"/>
  </si>
  <si>
    <t>김창휘(2)</t>
    <phoneticPr fontId="1" type="noConversion"/>
  </si>
  <si>
    <t>김창휘(3)</t>
    <phoneticPr fontId="1" type="noConversion"/>
  </si>
  <si>
    <t>월(2, 3교시)</t>
    <phoneticPr fontId="1" type="noConversion"/>
  </si>
  <si>
    <t>목(5, 6, 7교시)</t>
    <phoneticPr fontId="1" type="noConversion"/>
  </si>
  <si>
    <t>수(1, 2, 3, 4교시)</t>
    <phoneticPr fontId="1" type="noConversion"/>
  </si>
  <si>
    <t>월(4, 5교시), 수(5., 6교시)</t>
    <phoneticPr fontId="1" type="noConversion"/>
  </si>
  <si>
    <t>금(3, 4교시)</t>
  </si>
  <si>
    <t>화(6, 7교시)</t>
    <phoneticPr fontId="1" type="noConversion"/>
  </si>
  <si>
    <t>화(1, 2교시)</t>
    <phoneticPr fontId="1" type="noConversion"/>
  </si>
  <si>
    <t>금(1, 2교시)</t>
    <phoneticPr fontId="1" type="noConversion"/>
  </si>
  <si>
    <t>화(5교시), 목(1교시)</t>
    <phoneticPr fontId="1" type="noConversion"/>
  </si>
  <si>
    <t>목(2, 3, 4교시)</t>
    <phoneticPr fontId="1" type="noConversion"/>
  </si>
  <si>
    <t>수(3, 4교시), 금(3, 4교시)</t>
    <phoneticPr fontId="1" type="noConversion"/>
  </si>
  <si>
    <t>수학</t>
    <phoneticPr fontId="1" type="noConversion"/>
  </si>
  <si>
    <t>인공</t>
    <phoneticPr fontId="1" type="noConversion"/>
  </si>
  <si>
    <t>문학</t>
    <phoneticPr fontId="1" type="noConversion"/>
  </si>
  <si>
    <t>진로</t>
    <phoneticPr fontId="1" type="noConversion"/>
  </si>
  <si>
    <t>스생</t>
    <phoneticPr fontId="1" type="noConversion"/>
  </si>
  <si>
    <t>물리</t>
    <phoneticPr fontId="1" type="noConversion"/>
  </si>
  <si>
    <t>중어</t>
    <phoneticPr fontId="1" type="noConversion"/>
  </si>
  <si>
    <t>영어</t>
    <phoneticPr fontId="1" type="noConversion"/>
  </si>
  <si>
    <t>음악</t>
    <phoneticPr fontId="1" type="noConversion"/>
  </si>
  <si>
    <t>국사</t>
    <phoneticPr fontId="1" type="noConversion"/>
  </si>
  <si>
    <t>체육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</si>
  <si>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</si>
  <si>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</si>
  <si>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</si>
  <si>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과학</t>
    <phoneticPr fontId="1" type="noConversion"/>
  </si>
  <si>
    <t>사회</t>
    <phoneticPr fontId="1" type="noConversion"/>
  </si>
  <si>
    <t>진로</t>
    <phoneticPr fontId="1" type="noConversion"/>
  </si>
  <si>
    <t>음악</t>
    <phoneticPr fontId="1" type="noConversion"/>
  </si>
  <si>
    <t>국어</t>
    <phoneticPr fontId="1" type="noConversion"/>
  </si>
  <si>
    <t>동</t>
    <phoneticPr fontId="1" type="noConversion"/>
  </si>
  <si>
    <t>자/동</t>
    <phoneticPr fontId="1" type="noConversion"/>
  </si>
  <si>
    <t>자</t>
    <phoneticPr fontId="1" type="noConversion"/>
  </si>
  <si>
    <t>봉/동</t>
    <phoneticPr fontId="1" type="noConversion"/>
  </si>
  <si>
    <t>자/봉</t>
    <phoneticPr fontId="1" type="noConversion"/>
  </si>
  <si>
    <t>3학년 4반-수(5교시), 금(1, 2교시), 3학년 5반-화(4, 5, 6교시)</t>
    <phoneticPr fontId="1" type="noConversion"/>
  </si>
  <si>
    <t>2학년 4반 목(3, 4교시), 2학년 5반 목(1, 2교시)</t>
    <phoneticPr fontId="1" type="noConversion"/>
  </si>
  <si>
    <t>2학년 4반 이도마-화(6, 7교시), 장여경-화(1교시), 신세연(목 6교시), 2학년 5반 이도마-금(2, 3교시), 장여경-월(2교시), 신세연-화(2교시)</t>
    <phoneticPr fontId="1" type="noConversion"/>
  </si>
  <si>
    <t>화(3, 4, 5, 6교시)</t>
    <phoneticPr fontId="1" type="noConversion"/>
  </si>
  <si>
    <t>응프</t>
    <phoneticPr fontId="1" type="noConversion"/>
  </si>
  <si>
    <t>기조</t>
    <phoneticPr fontId="1" type="noConversion"/>
  </si>
  <si>
    <t>기요</t>
    <phoneticPr fontId="1" type="noConversion"/>
  </si>
  <si>
    <t>사출</t>
    <phoneticPr fontId="1" type="noConversion"/>
  </si>
  <si>
    <t>&lt;2026학년도 1학기 시간표&gt;  2026.03.03.(시행)(2차)</t>
    <phoneticPr fontId="1" type="noConversion"/>
  </si>
  <si>
    <t>화(2, 3, 4교시), 금(2교시)</t>
    <phoneticPr fontId="1" type="noConversion"/>
  </si>
  <si>
    <t>화(7교시), 수(4교시)</t>
    <phoneticPr fontId="1" type="noConversion"/>
  </si>
  <si>
    <t>화(5교시), 수(4, 5, 6교시)</t>
    <phoneticPr fontId="1" type="noConversion"/>
  </si>
  <si>
    <t>월(4, 5, 6교시), 화(6교시)</t>
    <phoneticPr fontId="1" type="noConversion"/>
  </si>
  <si>
    <t>수(1, 2교시), 목(1, 2교시)</t>
    <phoneticPr fontId="1" type="noConversion"/>
  </si>
  <si>
    <t>화(5교시), 금(4교시)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</si>
</sst>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\-0"/>
    <numFmt numFmtId="177" formatCode="&quot;(&quot;0&quot;)&quot;;&quot;&quot;;&quot;&quot;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B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9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rgb="FFB2B2B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double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6" borderId="16" applyNumberFormat="0" applyFont="0" applyAlignment="0" applyProtection="0">
      <alignment vertical="center"/>
    </xf>
    <xf numFmtId="0" fontId="10" fillId="8" borderId="20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55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4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4" borderId="10" xfId="1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10" xfId="2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1" xfId="3" applyFont="1" applyFill="1" applyBorder="1" applyAlignment="1">
      <alignment horizontal="center" vertical="center" wrapText="1"/>
    </xf>
    <xf numFmtId="0" fontId="3" fillId="4" borderId="22" xfId="3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26" xfId="1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3" applyFont="1" applyFill="1" applyBorder="1" applyAlignment="1">
      <alignment horizontal="center" vertical="center" wrapText="1"/>
    </xf>
    <xf numFmtId="0" fontId="3" fillId="4" borderId="23" xfId="1" applyFont="1" applyFill="1" applyBorder="1" applyAlignment="1">
      <alignment horizontal="center" vertical="center" wrapText="1"/>
    </xf>
    <xf numFmtId="0" fontId="3" fillId="4" borderId="26" xfId="3" applyFont="1" applyFill="1" applyBorder="1" applyAlignment="1">
      <alignment horizontal="center" vertical="center" wrapText="1"/>
    </xf>
    <xf numFmtId="0" fontId="3" fillId="4" borderId="27" xfId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4" borderId="33" xfId="1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176" fontId="9" fillId="2" borderId="43" xfId="0" applyNumberFormat="1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9" fillId="3" borderId="50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 wrapText="1"/>
    </xf>
    <xf numFmtId="0" fontId="3" fillId="4" borderId="42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horizontal="center" vertical="center" wrapText="1"/>
    </xf>
    <xf numFmtId="0" fontId="3" fillId="4" borderId="56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4" borderId="57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3" fillId="4" borderId="58" xfId="3" applyFont="1" applyFill="1" applyBorder="1" applyAlignment="1">
      <alignment horizontal="center" vertical="center" wrapText="1"/>
    </xf>
    <xf numFmtId="0" fontId="3" fillId="4" borderId="59" xfId="3" applyFont="1" applyFill="1" applyBorder="1" applyAlignment="1">
      <alignment horizontal="center" vertical="center" wrapText="1"/>
    </xf>
    <xf numFmtId="0" fontId="3" fillId="4" borderId="60" xfId="1" applyFont="1" applyFill="1" applyBorder="1" applyAlignment="1">
      <alignment horizontal="center" vertical="center" wrapText="1"/>
    </xf>
    <xf numFmtId="0" fontId="3" fillId="4" borderId="61" xfId="3" applyFont="1" applyFill="1" applyBorder="1" applyAlignment="1">
      <alignment horizontal="center" vertical="center" wrapText="1"/>
    </xf>
    <xf numFmtId="0" fontId="3" fillId="4" borderId="62" xfId="3" applyFont="1" applyFill="1" applyBorder="1" applyAlignment="1">
      <alignment horizontal="center" vertical="center" wrapText="1"/>
    </xf>
    <xf numFmtId="0" fontId="3" fillId="4" borderId="63" xfId="1" applyFont="1" applyFill="1" applyBorder="1" applyAlignment="1">
      <alignment horizontal="center" vertical="center" wrapText="1"/>
    </xf>
    <xf numFmtId="0" fontId="3" fillId="4" borderId="37" xfId="3" applyFont="1" applyFill="1" applyBorder="1" applyAlignment="1">
      <alignment horizontal="center" vertical="center" wrapText="1"/>
    </xf>
    <xf numFmtId="0" fontId="3" fillId="4" borderId="38" xfId="1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9" fillId="2" borderId="65" xfId="0" applyFont="1" applyFill="1" applyBorder="1" applyAlignment="1">
      <alignment horizontal="center" vertical="center" wrapText="1"/>
    </xf>
    <xf numFmtId="0" fontId="3" fillId="4" borderId="65" xfId="0" applyFont="1" applyFill="1" applyBorder="1" applyAlignment="1">
      <alignment horizontal="center" vertical="center" wrapText="1"/>
    </xf>
    <xf numFmtId="0" fontId="3" fillId="4" borderId="67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2" borderId="68" xfId="0" applyFont="1" applyFill="1" applyBorder="1" applyAlignment="1">
      <alignment horizontal="center" vertical="center" wrapText="1"/>
    </xf>
    <xf numFmtId="176" fontId="9" fillId="2" borderId="69" xfId="0" applyNumberFormat="1" applyFont="1" applyFill="1" applyBorder="1" applyAlignment="1">
      <alignment horizontal="center" vertical="center" wrapText="1"/>
    </xf>
    <xf numFmtId="176" fontId="9" fillId="2" borderId="70" xfId="0" applyNumberFormat="1" applyFont="1" applyFill="1" applyBorder="1" applyAlignment="1">
      <alignment horizontal="center" vertical="center" wrapText="1"/>
    </xf>
    <xf numFmtId="0" fontId="3" fillId="4" borderId="71" xfId="3" applyFont="1" applyFill="1" applyBorder="1" applyAlignment="1">
      <alignment horizontal="center" vertical="center" wrapText="1"/>
    </xf>
    <xf numFmtId="0" fontId="3" fillId="4" borderId="77" xfId="3" applyFont="1" applyFill="1" applyBorder="1" applyAlignment="1">
      <alignment horizontal="center" vertical="center" wrapText="1"/>
    </xf>
    <xf numFmtId="0" fontId="3" fillId="4" borderId="76" xfId="3" applyFont="1" applyFill="1" applyBorder="1" applyAlignment="1">
      <alignment horizontal="center" vertical="center" wrapText="1"/>
    </xf>
    <xf numFmtId="0" fontId="3" fillId="4" borderId="78" xfId="3" applyFont="1" applyFill="1" applyBorder="1" applyAlignment="1">
      <alignment horizontal="center" vertical="center" wrapText="1"/>
    </xf>
    <xf numFmtId="0" fontId="3" fillId="4" borderId="79" xfId="3" applyFont="1" applyFill="1" applyBorder="1" applyAlignment="1">
      <alignment horizontal="center" vertical="center" wrapText="1"/>
    </xf>
    <xf numFmtId="0" fontId="3" fillId="4" borderId="80" xfId="0" applyFont="1" applyFill="1" applyBorder="1" applyAlignment="1">
      <alignment horizontal="center" vertical="center" wrapText="1"/>
    </xf>
    <xf numFmtId="0" fontId="3" fillId="4" borderId="8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88" xfId="0" applyFont="1" applyFill="1" applyBorder="1" applyAlignment="1">
      <alignment horizontal="center" vertical="center" wrapText="1"/>
    </xf>
    <xf numFmtId="0" fontId="9" fillId="3" borderId="89" xfId="0" applyFont="1" applyFill="1" applyBorder="1" applyAlignment="1">
      <alignment horizontal="center" vertical="center" wrapText="1"/>
    </xf>
    <xf numFmtId="0" fontId="9" fillId="3" borderId="90" xfId="0" applyFont="1" applyFill="1" applyBorder="1" applyAlignment="1">
      <alignment horizontal="center" vertical="center" wrapText="1"/>
    </xf>
    <xf numFmtId="0" fontId="9" fillId="3" borderId="9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9" fillId="3" borderId="64" xfId="0" applyFont="1" applyFill="1" applyBorder="1" applyAlignment="1">
      <alignment horizontal="center" vertical="center" wrapText="1"/>
    </xf>
    <xf numFmtId="0" fontId="9" fillId="3" borderId="95" xfId="0" applyFont="1" applyFill="1" applyBorder="1" applyAlignment="1">
      <alignment horizontal="center" vertical="center" wrapText="1"/>
    </xf>
    <xf numFmtId="0" fontId="3" fillId="4" borderId="96" xfId="0" applyFont="1" applyFill="1" applyBorder="1" applyAlignment="1">
      <alignment horizontal="center" vertical="center" wrapText="1"/>
    </xf>
    <xf numFmtId="0" fontId="3" fillId="4" borderId="94" xfId="0" applyFont="1" applyFill="1" applyBorder="1" applyAlignment="1">
      <alignment horizontal="center" vertical="center" wrapText="1"/>
    </xf>
    <xf numFmtId="0" fontId="9" fillId="3" borderId="100" xfId="0" applyFont="1" applyFill="1" applyBorder="1" applyAlignment="1">
      <alignment horizontal="center" vertical="center" wrapText="1"/>
    </xf>
    <xf numFmtId="0" fontId="3" fillId="4" borderId="18" xfId="3" applyFont="1" applyFill="1" applyBorder="1" applyAlignment="1">
      <alignment horizontal="center" vertical="center" wrapText="1"/>
    </xf>
    <xf numFmtId="0" fontId="9" fillId="3" borderId="102" xfId="0" applyFont="1" applyFill="1" applyBorder="1" applyAlignment="1">
      <alignment horizontal="center" vertical="center" wrapText="1"/>
    </xf>
    <xf numFmtId="0" fontId="9" fillId="3" borderId="103" xfId="0" applyFont="1" applyFill="1" applyBorder="1" applyAlignment="1">
      <alignment horizontal="center" vertical="center" wrapText="1"/>
    </xf>
    <xf numFmtId="0" fontId="3" fillId="4" borderId="14" xfId="3" applyFont="1" applyFill="1" applyBorder="1" applyAlignment="1">
      <alignment horizontal="center" vertical="center" wrapText="1"/>
    </xf>
    <xf numFmtId="0" fontId="3" fillId="4" borderId="108" xfId="3" applyFont="1" applyFill="1" applyBorder="1" applyAlignment="1">
      <alignment horizontal="center" vertical="center" wrapText="1"/>
    </xf>
    <xf numFmtId="0" fontId="3" fillId="4" borderId="109" xfId="0" applyFont="1" applyFill="1" applyBorder="1" applyAlignment="1">
      <alignment horizontal="center" vertical="center" wrapText="1"/>
    </xf>
    <xf numFmtId="0" fontId="3" fillId="4" borderId="59" xfId="0" applyFont="1" applyFill="1" applyBorder="1" applyAlignment="1">
      <alignment horizontal="center" vertical="center" wrapText="1"/>
    </xf>
    <xf numFmtId="0" fontId="3" fillId="4" borderId="109" xfId="3" applyFont="1" applyFill="1" applyBorder="1" applyAlignment="1">
      <alignment horizontal="center" vertical="center" wrapText="1"/>
    </xf>
    <xf numFmtId="0" fontId="3" fillId="4" borderId="97" xfId="1" applyFont="1" applyFill="1" applyBorder="1" applyAlignment="1">
      <alignment horizontal="center" vertical="center" wrapText="1"/>
    </xf>
    <xf numFmtId="0" fontId="3" fillId="4" borderId="110" xfId="3" applyFont="1" applyFill="1" applyBorder="1" applyAlignment="1">
      <alignment horizontal="center" vertical="center" wrapText="1"/>
    </xf>
    <xf numFmtId="0" fontId="9" fillId="2" borderId="107" xfId="0" applyFont="1" applyFill="1" applyBorder="1" applyAlignment="1">
      <alignment horizontal="center" vertical="center" wrapText="1"/>
    </xf>
    <xf numFmtId="0" fontId="9" fillId="2" borderId="111" xfId="0" applyFont="1" applyFill="1" applyBorder="1" applyAlignment="1">
      <alignment horizontal="center" vertical="center" wrapText="1"/>
    </xf>
    <xf numFmtId="0" fontId="3" fillId="4" borderId="112" xfId="0" applyFont="1" applyFill="1" applyBorder="1" applyAlignment="1">
      <alignment horizontal="center" vertical="center" wrapText="1"/>
    </xf>
    <xf numFmtId="0" fontId="3" fillId="4" borderId="11" xfId="5" applyFont="1" applyFill="1" applyBorder="1" applyAlignment="1">
      <alignment horizontal="center" vertical="center" wrapText="1"/>
    </xf>
    <xf numFmtId="0" fontId="3" fillId="4" borderId="8" xfId="5" applyFont="1" applyFill="1" applyBorder="1" applyAlignment="1">
      <alignment horizontal="center" vertical="center" wrapText="1"/>
    </xf>
    <xf numFmtId="0" fontId="3" fillId="4" borderId="17" xfId="0" quotePrefix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 shrinkToFit="1"/>
    </xf>
    <xf numFmtId="0" fontId="13" fillId="9" borderId="21" xfId="0" applyFont="1" applyFill="1" applyBorder="1" applyAlignment="1">
      <alignment horizontal="center" vertical="center" wrapText="1"/>
    </xf>
    <xf numFmtId="177" fontId="13" fillId="9" borderId="21" xfId="0" applyNumberFormat="1" applyFont="1" applyFill="1" applyBorder="1" applyAlignment="1">
      <alignment horizontal="center" vertical="center" wrapText="1"/>
    </xf>
    <xf numFmtId="0" fontId="3" fillId="4" borderId="7" xfId="2" applyFont="1" applyFill="1" applyBorder="1" applyAlignment="1">
      <alignment horizontal="center" vertical="center" wrapText="1"/>
    </xf>
    <xf numFmtId="0" fontId="9" fillId="2" borderId="98" xfId="0" applyFont="1" applyFill="1" applyBorder="1" applyAlignment="1">
      <alignment horizontal="center" vertical="center" wrapText="1"/>
    </xf>
    <xf numFmtId="0" fontId="9" fillId="2" borderId="122" xfId="0" applyFont="1" applyFill="1" applyBorder="1" applyAlignment="1">
      <alignment horizontal="center" vertical="center" wrapText="1"/>
    </xf>
    <xf numFmtId="0" fontId="9" fillId="2" borderId="125" xfId="0" applyFont="1" applyFill="1" applyBorder="1" applyAlignment="1">
      <alignment horizontal="center" vertical="center" wrapText="1"/>
    </xf>
    <xf numFmtId="0" fontId="9" fillId="3" borderId="105" xfId="0" applyFont="1" applyFill="1" applyBorder="1" applyAlignment="1">
      <alignment horizontal="center" vertical="center" wrapText="1"/>
    </xf>
    <xf numFmtId="0" fontId="9" fillId="3" borderId="106" xfId="0" applyFont="1" applyFill="1" applyBorder="1" applyAlignment="1">
      <alignment horizontal="center" vertical="center" wrapText="1"/>
    </xf>
    <xf numFmtId="0" fontId="9" fillId="3" borderId="118" xfId="0" applyFont="1" applyFill="1" applyBorder="1" applyAlignment="1">
      <alignment horizontal="center" vertical="center" wrapText="1"/>
    </xf>
    <xf numFmtId="0" fontId="9" fillId="3" borderId="131" xfId="0" applyFont="1" applyFill="1" applyBorder="1" applyAlignment="1">
      <alignment horizontal="center" vertical="center" wrapText="1"/>
    </xf>
    <xf numFmtId="0" fontId="9" fillId="3" borderId="132" xfId="0" applyFont="1" applyFill="1" applyBorder="1" applyAlignment="1">
      <alignment horizontal="center" vertical="center" wrapText="1"/>
    </xf>
    <xf numFmtId="0" fontId="9" fillId="3" borderId="58" xfId="0" applyFont="1" applyFill="1" applyBorder="1" applyAlignment="1">
      <alignment horizontal="center" vertical="center" wrapText="1"/>
    </xf>
    <xf numFmtId="0" fontId="9" fillId="3" borderId="133" xfId="0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3" fillId="0" borderId="93" xfId="0" applyFont="1" applyBorder="1">
      <alignment vertical="center"/>
    </xf>
    <xf numFmtId="0" fontId="9" fillId="3" borderId="59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37" xfId="0" applyFont="1" applyFill="1" applyBorder="1" applyAlignment="1">
      <alignment horizontal="center" vertical="center" wrapText="1"/>
    </xf>
    <xf numFmtId="0" fontId="9" fillId="3" borderId="13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1" fillId="4" borderId="3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33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57" xfId="0" applyFont="1" applyFill="1" applyBorder="1" applyAlignment="1">
      <alignment horizontal="center" vertical="center" wrapText="1"/>
    </xf>
    <xf numFmtId="0" fontId="9" fillId="3" borderId="147" xfId="0" applyFont="1" applyFill="1" applyBorder="1" applyAlignment="1">
      <alignment horizontal="center" vertical="center" wrapText="1"/>
    </xf>
    <xf numFmtId="0" fontId="9" fillId="3" borderId="148" xfId="0" applyFont="1" applyFill="1" applyBorder="1" applyAlignment="1">
      <alignment horizontal="center" vertical="center" wrapText="1"/>
    </xf>
    <xf numFmtId="0" fontId="9" fillId="3" borderId="149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5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76" fontId="9" fillId="2" borderId="160" xfId="0" applyNumberFormat="1" applyFont="1" applyFill="1" applyBorder="1" applyAlignment="1">
      <alignment horizontal="center" vertical="center" wrapText="1"/>
    </xf>
    <xf numFmtId="176" fontId="9" fillId="2" borderId="161" xfId="0" applyNumberFormat="1" applyFont="1" applyFill="1" applyBorder="1" applyAlignment="1">
      <alignment horizontal="center" vertical="center" wrapText="1"/>
    </xf>
    <xf numFmtId="176" fontId="9" fillId="2" borderId="162" xfId="0" applyNumberFormat="1" applyFont="1" applyFill="1" applyBorder="1" applyAlignment="1">
      <alignment horizontal="center" vertical="center" wrapText="1"/>
    </xf>
    <xf numFmtId="176" fontId="9" fillId="2" borderId="163" xfId="0" applyNumberFormat="1" applyFont="1" applyFill="1" applyBorder="1" applyAlignment="1">
      <alignment horizontal="center" vertical="center" wrapText="1"/>
    </xf>
    <xf numFmtId="176" fontId="9" fillId="2" borderId="138" xfId="0" applyNumberFormat="1" applyFont="1" applyFill="1" applyBorder="1" applyAlignment="1">
      <alignment horizontal="center" vertical="center" wrapText="1"/>
    </xf>
    <xf numFmtId="0" fontId="9" fillId="3" borderId="158" xfId="0" applyFont="1" applyFill="1" applyBorder="1" applyAlignment="1">
      <alignment horizontal="center" vertical="center" wrapText="1"/>
    </xf>
    <xf numFmtId="0" fontId="9" fillId="3" borderId="164" xfId="0" applyFont="1" applyFill="1" applyBorder="1" applyAlignment="1">
      <alignment horizontal="center" vertical="center" wrapText="1"/>
    </xf>
    <xf numFmtId="0" fontId="9" fillId="3" borderId="165" xfId="0" applyFont="1" applyFill="1" applyBorder="1" applyAlignment="1">
      <alignment horizontal="center" vertical="center" wrapText="1"/>
    </xf>
    <xf numFmtId="0" fontId="9" fillId="3" borderId="166" xfId="0" applyFont="1" applyFill="1" applyBorder="1" applyAlignment="1">
      <alignment horizontal="center" vertical="center" wrapText="1"/>
    </xf>
    <xf numFmtId="0" fontId="9" fillId="3" borderId="167" xfId="0" applyFont="1" applyFill="1" applyBorder="1" applyAlignment="1">
      <alignment horizontal="center" vertical="center" wrapText="1"/>
    </xf>
    <xf numFmtId="0" fontId="9" fillId="3" borderId="168" xfId="0" applyFont="1" applyFill="1" applyBorder="1" applyAlignment="1">
      <alignment horizontal="center" vertical="center" wrapText="1"/>
    </xf>
    <xf numFmtId="0" fontId="9" fillId="3" borderId="169" xfId="0" applyFont="1" applyFill="1" applyBorder="1" applyAlignment="1">
      <alignment horizontal="center" vertical="center" wrapText="1"/>
    </xf>
    <xf numFmtId="0" fontId="9" fillId="2" borderId="121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16" xfId="3" applyFont="1" applyFill="1" applyBorder="1" applyAlignment="1">
      <alignment horizontal="center" vertical="center" wrapText="1"/>
    </xf>
    <xf numFmtId="0" fontId="3" fillId="4" borderId="157" xfId="0" applyFont="1" applyFill="1" applyBorder="1" applyAlignment="1">
      <alignment horizontal="center" vertical="center" wrapText="1"/>
    </xf>
    <xf numFmtId="0" fontId="3" fillId="4" borderId="175" xfId="0" applyFont="1" applyFill="1" applyBorder="1" applyAlignment="1">
      <alignment horizontal="center" vertical="center" wrapText="1"/>
    </xf>
    <xf numFmtId="0" fontId="3" fillId="4" borderId="143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176" fontId="9" fillId="2" borderId="177" xfId="0" applyNumberFormat="1" applyFont="1" applyFill="1" applyBorder="1" applyAlignment="1">
      <alignment horizontal="center" vertical="center" wrapText="1"/>
    </xf>
    <xf numFmtId="0" fontId="3" fillId="4" borderId="66" xfId="0" applyFont="1" applyFill="1" applyBorder="1" applyAlignment="1">
      <alignment horizontal="center" vertical="center" wrapText="1"/>
    </xf>
    <xf numFmtId="0" fontId="3" fillId="4" borderId="144" xfId="0" applyFont="1" applyFill="1" applyBorder="1" applyAlignment="1">
      <alignment horizontal="center" vertical="center" wrapText="1"/>
    </xf>
    <xf numFmtId="0" fontId="3" fillId="4" borderId="155" xfId="1" applyFont="1" applyFill="1" applyBorder="1" applyAlignment="1">
      <alignment horizontal="center" vertical="center" wrapText="1"/>
    </xf>
    <xf numFmtId="0" fontId="3" fillId="4" borderId="144" xfId="1" applyFont="1" applyFill="1" applyBorder="1" applyAlignment="1">
      <alignment horizontal="center" vertical="center" wrapText="1"/>
    </xf>
    <xf numFmtId="0" fontId="3" fillId="4" borderId="48" xfId="1" applyFont="1" applyFill="1" applyBorder="1" applyAlignment="1">
      <alignment horizontal="center" vertical="center" wrapText="1"/>
    </xf>
    <xf numFmtId="0" fontId="11" fillId="4" borderId="144" xfId="0" applyFont="1" applyFill="1" applyBorder="1" applyAlignment="1">
      <alignment horizontal="center" vertical="center" wrapText="1"/>
    </xf>
    <xf numFmtId="0" fontId="3" fillId="4" borderId="92" xfId="1" applyFont="1" applyFill="1" applyBorder="1" applyAlignment="1">
      <alignment horizontal="center" vertical="center" wrapText="1"/>
    </xf>
    <xf numFmtId="0" fontId="3" fillId="4" borderId="86" xfId="1" applyFont="1" applyFill="1" applyBorder="1" applyAlignment="1">
      <alignment horizontal="center" vertical="center" wrapText="1"/>
    </xf>
    <xf numFmtId="0" fontId="11" fillId="4" borderId="80" xfId="0" applyFont="1" applyFill="1" applyBorder="1" applyAlignment="1">
      <alignment horizontal="center" vertical="center" wrapText="1"/>
    </xf>
    <xf numFmtId="0" fontId="9" fillId="2" borderId="131" xfId="0" applyFont="1" applyFill="1" applyBorder="1" applyAlignment="1">
      <alignment vertical="center" wrapText="1"/>
    </xf>
    <xf numFmtId="0" fontId="9" fillId="2" borderId="108" xfId="0" applyFont="1" applyFill="1" applyBorder="1" applyAlignment="1">
      <alignment horizontal="center" vertical="center" wrapText="1"/>
    </xf>
    <xf numFmtId="0" fontId="9" fillId="2" borderId="156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2" borderId="124" xfId="0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vertical="center" wrapText="1"/>
    </xf>
    <xf numFmtId="0" fontId="3" fillId="11" borderId="41" xfId="0" applyNumberFormat="1" applyFont="1" applyFill="1" applyBorder="1" applyAlignment="1">
      <alignment horizontal="center" vertical="center" wrapText="1"/>
    </xf>
    <xf numFmtId="0" fontId="3" fillId="4" borderId="42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11" borderId="66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11" borderId="150" xfId="0" applyNumberFormat="1" applyFont="1" applyFill="1" applyBorder="1" applyAlignment="1">
      <alignment horizontal="center" vertical="center" wrapText="1"/>
    </xf>
    <xf numFmtId="0" fontId="3" fillId="4" borderId="146" xfId="0" applyNumberFormat="1" applyFont="1" applyFill="1" applyBorder="1" applyAlignment="1">
      <alignment horizontal="center" vertical="center" wrapText="1"/>
    </xf>
    <xf numFmtId="0" fontId="3" fillId="4" borderId="17" xfId="0" quotePrefix="1" applyNumberFormat="1" applyFont="1" applyFill="1" applyBorder="1" applyAlignment="1">
      <alignment horizontal="center" vertical="center" wrapText="1"/>
    </xf>
    <xf numFmtId="0" fontId="3" fillId="11" borderId="17" xfId="0" quotePrefix="1" applyNumberFormat="1" applyFont="1" applyFill="1" applyBorder="1" applyAlignment="1">
      <alignment horizontal="center" vertical="center" wrapText="1"/>
    </xf>
    <xf numFmtId="0" fontId="3" fillId="4" borderId="7" xfId="0" applyNumberFormat="1" applyFont="1" applyFill="1" applyBorder="1" applyAlignment="1">
      <alignment horizontal="center" vertical="center" wrapText="1"/>
    </xf>
    <xf numFmtId="0" fontId="3" fillId="4" borderId="7" xfId="0" quotePrefix="1" applyNumberFormat="1" applyFont="1" applyFill="1" applyBorder="1" applyAlignment="1">
      <alignment horizontal="center" vertical="center" wrapText="1"/>
    </xf>
    <xf numFmtId="0" fontId="3" fillId="11" borderId="7" xfId="0" applyNumberFormat="1" applyFont="1" applyFill="1" applyBorder="1" applyAlignment="1">
      <alignment horizontal="center" vertical="center" wrapText="1"/>
    </xf>
    <xf numFmtId="0" fontId="3" fillId="4" borderId="87" xfId="0" applyNumberFormat="1" applyFont="1" applyFill="1" applyBorder="1" applyAlignment="1">
      <alignment horizontal="center" vertical="center" wrapText="1"/>
    </xf>
    <xf numFmtId="0" fontId="3" fillId="11" borderId="34" xfId="0" applyNumberFormat="1" applyFont="1" applyFill="1" applyBorder="1" applyAlignment="1">
      <alignment horizontal="center" vertical="center" wrapText="1"/>
    </xf>
    <xf numFmtId="0" fontId="3" fillId="4" borderId="33" xfId="0" applyNumberFormat="1" applyFont="1" applyFill="1" applyBorder="1" applyAlignment="1">
      <alignment horizontal="center" vertical="center" wrapText="1"/>
    </xf>
    <xf numFmtId="0" fontId="3" fillId="4" borderId="18" xfId="0" applyNumberFormat="1" applyFont="1" applyFill="1" applyBorder="1" applyAlignment="1">
      <alignment horizontal="center" vertical="center" wrapText="1"/>
    </xf>
    <xf numFmtId="0" fontId="3" fillId="11" borderId="144" xfId="0" applyNumberFormat="1" applyFont="1" applyFill="1" applyBorder="1" applyAlignment="1">
      <alignment horizontal="center" vertical="center" wrapText="1"/>
    </xf>
    <xf numFmtId="0" fontId="3" fillId="0" borderId="18" xfId="0" applyNumberFormat="1" applyFont="1" applyBorder="1" applyAlignment="1">
      <alignment horizontal="center" vertical="center" wrapText="1"/>
    </xf>
    <xf numFmtId="0" fontId="3" fillId="11" borderId="151" xfId="0" applyNumberFormat="1" applyFont="1" applyFill="1" applyBorder="1" applyAlignment="1">
      <alignment horizontal="center" vertical="center" wrapText="1"/>
    </xf>
    <xf numFmtId="0" fontId="3" fillId="4" borderId="104" xfId="0" applyNumberFormat="1" applyFont="1" applyFill="1" applyBorder="1" applyAlignment="1">
      <alignment horizontal="center" vertical="center" wrapText="1"/>
    </xf>
    <xf numFmtId="0" fontId="3" fillId="4" borderId="8" xfId="0" quotePrefix="1" applyNumberFormat="1" applyFont="1" applyFill="1" applyBorder="1" applyAlignment="1">
      <alignment horizontal="center" vertical="center" wrapText="1"/>
    </xf>
    <xf numFmtId="0" fontId="3" fillId="11" borderId="8" xfId="0" quotePrefix="1" applyNumberFormat="1" applyFont="1" applyFill="1" applyBorder="1" applyAlignment="1">
      <alignment horizontal="center" vertical="center" wrapText="1"/>
    </xf>
    <xf numFmtId="0" fontId="3" fillId="4" borderId="10" xfId="0" quotePrefix="1" applyNumberFormat="1" applyFont="1" applyFill="1" applyBorder="1" applyAlignment="1">
      <alignment horizontal="center" vertical="center" wrapText="1"/>
    </xf>
    <xf numFmtId="0" fontId="3" fillId="4" borderId="11" xfId="0" applyNumberFormat="1" applyFont="1" applyFill="1" applyBorder="1" applyAlignment="1">
      <alignment horizontal="center" vertical="center" wrapText="1"/>
    </xf>
    <xf numFmtId="0" fontId="3" fillId="4" borderId="10" xfId="0" applyNumberFormat="1" applyFont="1" applyFill="1" applyBorder="1" applyAlignment="1">
      <alignment horizontal="center" vertical="center" wrapText="1"/>
    </xf>
    <xf numFmtId="0" fontId="3" fillId="4" borderId="8" xfId="0" applyNumberFormat="1" applyFont="1" applyFill="1" applyBorder="1" applyAlignment="1">
      <alignment horizontal="center" vertical="center" wrapText="1"/>
    </xf>
    <xf numFmtId="0" fontId="3" fillId="11" borderId="8" xfId="0" applyNumberFormat="1" applyFont="1" applyFill="1" applyBorder="1" applyAlignment="1">
      <alignment horizontal="center" vertical="center" wrapText="1"/>
    </xf>
    <xf numFmtId="0" fontId="3" fillId="11" borderId="10" xfId="0" applyNumberFormat="1" applyFont="1" applyFill="1" applyBorder="1" applyAlignment="1">
      <alignment horizontal="center" vertical="center" wrapText="1"/>
    </xf>
    <xf numFmtId="0" fontId="3" fillId="4" borderId="80" xfId="0" applyNumberFormat="1" applyFont="1" applyFill="1" applyBorder="1" applyAlignment="1">
      <alignment horizontal="center" vertical="center" wrapText="1"/>
    </xf>
    <xf numFmtId="0" fontId="3" fillId="11" borderId="56" xfId="0" applyNumberFormat="1" applyFont="1" applyFill="1" applyBorder="1" applyAlignment="1">
      <alignment horizontal="center" vertical="center" wrapText="1"/>
    </xf>
    <xf numFmtId="0" fontId="3" fillId="4" borderId="83" xfId="0" applyNumberFormat="1" applyFont="1" applyFill="1" applyBorder="1" applyAlignment="1">
      <alignment horizontal="center" vertical="center" wrapText="1"/>
    </xf>
    <xf numFmtId="0" fontId="3" fillId="4" borderId="101" xfId="0" applyNumberFormat="1" applyFont="1" applyFill="1" applyBorder="1" applyAlignment="1">
      <alignment horizontal="center" vertical="center" wrapText="1"/>
    </xf>
    <xf numFmtId="0" fontId="3" fillId="11" borderId="145" xfId="0" applyNumberFormat="1" applyFont="1" applyFill="1" applyBorder="1" applyAlignment="1">
      <alignment horizontal="center" vertical="center" wrapText="1"/>
    </xf>
    <xf numFmtId="0" fontId="3" fillId="0" borderId="83" xfId="0" applyNumberFormat="1" applyFont="1" applyBorder="1" applyAlignment="1">
      <alignment horizontal="center" vertical="center" wrapText="1"/>
    </xf>
    <xf numFmtId="0" fontId="3" fillId="11" borderId="152" xfId="0" applyNumberFormat="1" applyFont="1" applyFill="1" applyBorder="1" applyAlignment="1">
      <alignment horizontal="center" vertical="center" wrapText="1"/>
    </xf>
    <xf numFmtId="0" fontId="3" fillId="4" borderId="23" xfId="0" quotePrefix="1" applyNumberFormat="1" applyFont="1" applyFill="1" applyBorder="1" applyAlignment="1">
      <alignment horizontal="center" vertical="center" wrapText="1"/>
    </xf>
    <xf numFmtId="0" fontId="3" fillId="11" borderId="23" xfId="0" applyNumberFormat="1" applyFont="1" applyFill="1" applyBorder="1" applyAlignment="1">
      <alignment horizontal="center" vertical="center" wrapText="1"/>
    </xf>
    <xf numFmtId="0" fontId="3" fillId="4" borderId="24" xfId="0" applyNumberFormat="1" applyFont="1" applyFill="1" applyBorder="1" applyAlignment="1">
      <alignment horizontal="center" vertical="center" wrapText="1"/>
    </xf>
    <xf numFmtId="0" fontId="3" fillId="4" borderId="23" xfId="0" applyNumberFormat="1" applyFont="1" applyFill="1" applyBorder="1" applyAlignment="1">
      <alignment horizontal="center" vertical="center" wrapText="1"/>
    </xf>
    <xf numFmtId="0" fontId="3" fillId="11" borderId="24" xfId="0" applyNumberFormat="1" applyFont="1" applyFill="1" applyBorder="1" applyAlignment="1">
      <alignment horizontal="center" vertical="center" wrapText="1"/>
    </xf>
    <xf numFmtId="0" fontId="3" fillId="4" borderId="81" xfId="0" applyNumberFormat="1" applyFont="1" applyFill="1" applyBorder="1" applyAlignment="1">
      <alignment horizontal="center" vertical="center" wrapText="1"/>
    </xf>
    <xf numFmtId="0" fontId="3" fillId="4" borderId="32" xfId="0" applyNumberFormat="1" applyFont="1" applyFill="1" applyBorder="1" applyAlignment="1">
      <alignment horizontal="center" vertical="center" wrapText="1"/>
    </xf>
    <xf numFmtId="0" fontId="3" fillId="4" borderId="27" xfId="0" quotePrefix="1" applyNumberFormat="1" applyFont="1" applyFill="1" applyBorder="1" applyAlignment="1">
      <alignment horizontal="center" vertical="center" wrapText="1"/>
    </xf>
    <xf numFmtId="0" fontId="3" fillId="4" borderId="7" xfId="1" applyNumberFormat="1" applyFont="1" applyFill="1" applyBorder="1" applyAlignment="1">
      <alignment horizontal="center" vertical="center" wrapText="1"/>
    </xf>
    <xf numFmtId="0" fontId="3" fillId="4" borderId="117" xfId="1" applyNumberFormat="1" applyFont="1" applyFill="1" applyBorder="1" applyAlignment="1">
      <alignment horizontal="center" vertical="center" wrapText="1"/>
    </xf>
    <xf numFmtId="0" fontId="3" fillId="4" borderId="54" xfId="1" applyNumberFormat="1" applyFont="1" applyFill="1" applyBorder="1" applyAlignment="1">
      <alignment horizontal="center" vertical="center" wrapText="1"/>
    </xf>
    <xf numFmtId="0" fontId="3" fillId="4" borderId="129" xfId="1" applyNumberFormat="1" applyFont="1" applyFill="1" applyBorder="1" applyAlignment="1">
      <alignment horizontal="center" vertical="center" wrapText="1"/>
    </xf>
    <xf numFmtId="0" fontId="3" fillId="4" borderId="115" xfId="1" applyNumberFormat="1" applyFont="1" applyFill="1" applyBorder="1" applyAlignment="1">
      <alignment horizontal="center" vertical="center" wrapText="1"/>
    </xf>
    <xf numFmtId="0" fontId="3" fillId="11" borderId="81" xfId="0" applyNumberFormat="1" applyFont="1" applyFill="1" applyBorder="1" applyAlignment="1">
      <alignment horizontal="center" vertical="center" wrapText="1"/>
    </xf>
    <xf numFmtId="0" fontId="3" fillId="4" borderId="24" xfId="1" applyNumberFormat="1" applyFont="1" applyFill="1" applyBorder="1" applyAlignment="1">
      <alignment horizontal="center" vertical="center" wrapText="1"/>
    </xf>
    <xf numFmtId="0" fontId="3" fillId="11" borderId="31" xfId="0" applyNumberFormat="1" applyFont="1" applyFill="1" applyBorder="1" applyAlignment="1">
      <alignment horizontal="center" vertical="center" wrapText="1"/>
    </xf>
    <xf numFmtId="0" fontId="3" fillId="4" borderId="46" xfId="0" applyNumberFormat="1" applyFont="1" applyFill="1" applyBorder="1" applyAlignment="1">
      <alignment horizontal="center" vertical="center" wrapText="1"/>
    </xf>
    <xf numFmtId="0" fontId="3" fillId="11" borderId="48" xfId="0" applyNumberFormat="1" applyFont="1" applyFill="1" applyBorder="1" applyAlignment="1">
      <alignment horizontal="center" vertical="center" wrapText="1"/>
    </xf>
    <xf numFmtId="0" fontId="3" fillId="11" borderId="153" xfId="0" applyNumberFormat="1" applyFont="1" applyFill="1" applyBorder="1" applyAlignment="1">
      <alignment horizontal="center" vertical="center" wrapText="1"/>
    </xf>
    <xf numFmtId="0" fontId="3" fillId="11" borderId="26" xfId="0" applyNumberFormat="1" applyFont="1" applyFill="1" applyBorder="1" applyAlignment="1">
      <alignment horizontal="center" vertical="center" wrapText="1"/>
    </xf>
    <xf numFmtId="0" fontId="3" fillId="4" borderId="8" xfId="3" quotePrefix="1" applyNumberFormat="1" applyFont="1" applyFill="1" applyBorder="1" applyAlignment="1">
      <alignment horizontal="center" vertical="center" wrapText="1"/>
    </xf>
    <xf numFmtId="0" fontId="3" fillId="4" borderId="82" xfId="0" applyNumberFormat="1" applyFont="1" applyFill="1" applyBorder="1" applyAlignment="1">
      <alignment horizontal="center" vertical="center" wrapText="1"/>
    </xf>
    <xf numFmtId="0" fontId="3" fillId="4" borderId="24" xfId="0" quotePrefix="1" applyNumberFormat="1" applyFont="1" applyFill="1" applyBorder="1" applyAlignment="1">
      <alignment horizontal="center" vertical="center" wrapText="1"/>
    </xf>
    <xf numFmtId="0" fontId="3" fillId="4" borderId="6" xfId="0" quotePrefix="1" applyNumberFormat="1" applyFont="1" applyFill="1" applyBorder="1" applyAlignment="1">
      <alignment horizontal="center" vertical="center" wrapText="1"/>
    </xf>
    <xf numFmtId="0" fontId="3" fillId="11" borderId="8" xfId="3" quotePrefix="1" applyNumberFormat="1" applyFont="1" applyFill="1" applyBorder="1" applyAlignment="1">
      <alignment horizontal="center" vertical="center" wrapText="1"/>
    </xf>
    <xf numFmtId="0" fontId="3" fillId="11" borderId="23" xfId="0" quotePrefix="1" applyNumberFormat="1" applyFont="1" applyFill="1" applyBorder="1" applyAlignment="1">
      <alignment horizontal="center" vertical="center" wrapText="1"/>
    </xf>
    <xf numFmtId="0" fontId="3" fillId="11" borderId="27" xfId="0" applyNumberFormat="1" applyFont="1" applyFill="1" applyBorder="1" applyAlignment="1">
      <alignment horizontal="center" vertical="center" wrapText="1"/>
    </xf>
    <xf numFmtId="0" fontId="9" fillId="3" borderId="113" xfId="0" applyFont="1" applyFill="1" applyBorder="1" applyAlignment="1">
      <alignment horizontal="center" vertical="center" wrapText="1"/>
    </xf>
    <xf numFmtId="0" fontId="9" fillId="3" borderId="182" xfId="0" applyFont="1" applyFill="1" applyBorder="1" applyAlignment="1">
      <alignment horizontal="center" vertical="center" wrapText="1"/>
    </xf>
    <xf numFmtId="0" fontId="9" fillId="3" borderId="172" xfId="0" applyFont="1" applyFill="1" applyBorder="1" applyAlignment="1">
      <alignment horizontal="center" vertical="center" wrapText="1"/>
    </xf>
    <xf numFmtId="0" fontId="9" fillId="3" borderId="155" xfId="0" applyFont="1" applyFill="1" applyBorder="1" applyAlignment="1">
      <alignment horizontal="center" vertical="center" wrapText="1"/>
    </xf>
    <xf numFmtId="0" fontId="9" fillId="3" borderId="183" xfId="0" applyFont="1" applyFill="1" applyBorder="1" applyAlignment="1">
      <alignment horizontal="center" vertical="center" wrapText="1"/>
    </xf>
    <xf numFmtId="0" fontId="9" fillId="3" borderId="180" xfId="0" applyFont="1" applyFill="1" applyBorder="1" applyAlignment="1">
      <alignment horizontal="center" vertical="center" wrapText="1"/>
    </xf>
    <xf numFmtId="0" fontId="9" fillId="3" borderId="184" xfId="0" applyFont="1" applyFill="1" applyBorder="1" applyAlignment="1">
      <alignment horizontal="center" vertical="center" wrapText="1"/>
    </xf>
    <xf numFmtId="0" fontId="9" fillId="3" borderId="92" xfId="0" applyFont="1" applyFill="1" applyBorder="1" applyAlignment="1">
      <alignment horizontal="center" vertical="center" wrapText="1"/>
    </xf>
    <xf numFmtId="0" fontId="9" fillId="2" borderId="123" xfId="0" applyFont="1" applyFill="1" applyBorder="1" applyAlignment="1">
      <alignment horizontal="center" vertical="center" wrapText="1"/>
    </xf>
    <xf numFmtId="0" fontId="9" fillId="2" borderId="108" xfId="0" applyFont="1" applyFill="1" applyBorder="1" applyAlignment="1">
      <alignment horizontal="center" vertical="center" wrapText="1"/>
    </xf>
    <xf numFmtId="0" fontId="9" fillId="2" borderId="156" xfId="0" applyFont="1" applyFill="1" applyBorder="1" applyAlignment="1">
      <alignment horizontal="center" vertical="center" wrapText="1"/>
    </xf>
    <xf numFmtId="0" fontId="3" fillId="0" borderId="142" xfId="0" applyFont="1" applyBorder="1" applyAlignment="1">
      <alignment horizontal="center" vertical="center"/>
    </xf>
    <xf numFmtId="0" fontId="9" fillId="2" borderId="156" xfId="0" applyFont="1" applyFill="1" applyBorder="1" applyAlignment="1">
      <alignment horizontal="center" vertical="center" wrapText="1"/>
    </xf>
    <xf numFmtId="0" fontId="3" fillId="4" borderId="143" xfId="0" applyFont="1" applyFill="1" applyBorder="1" applyAlignment="1">
      <alignment horizontal="center" vertical="center" wrapText="1"/>
    </xf>
    <xf numFmtId="0" fontId="9" fillId="3" borderId="93" xfId="0" applyFont="1" applyFill="1" applyBorder="1" applyAlignment="1">
      <alignment horizontal="center" vertical="center" wrapText="1"/>
    </xf>
    <xf numFmtId="0" fontId="3" fillId="4" borderId="185" xfId="0" applyNumberFormat="1" applyFont="1" applyFill="1" applyBorder="1" applyAlignment="1">
      <alignment horizontal="center" vertical="center" wrapText="1"/>
    </xf>
    <xf numFmtId="0" fontId="3" fillId="4" borderId="186" xfId="0" applyNumberFormat="1" applyFont="1" applyFill="1" applyBorder="1" applyAlignment="1">
      <alignment horizontal="center" vertical="center" wrapText="1"/>
    </xf>
    <xf numFmtId="0" fontId="3" fillId="4" borderId="13" xfId="0" applyNumberFormat="1" applyFont="1" applyFill="1" applyBorder="1" applyAlignment="1">
      <alignment horizontal="center" vertical="center" wrapText="1"/>
    </xf>
    <xf numFmtId="0" fontId="3" fillId="4" borderId="85" xfId="0" applyNumberFormat="1" applyFont="1" applyFill="1" applyBorder="1" applyAlignment="1">
      <alignment horizontal="center" vertical="center" wrapText="1"/>
    </xf>
    <xf numFmtId="0" fontId="9" fillId="3" borderId="187" xfId="0" applyFont="1" applyFill="1" applyBorder="1" applyAlignment="1">
      <alignment horizontal="center" vertical="center" wrapText="1"/>
    </xf>
    <xf numFmtId="0" fontId="11" fillId="4" borderId="18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88" xfId="0" applyFont="1" applyFill="1" applyBorder="1" applyAlignment="1">
      <alignment horizontal="center" vertical="center" wrapText="1"/>
    </xf>
    <xf numFmtId="0" fontId="11" fillId="4" borderId="178" xfId="0" applyFont="1" applyFill="1" applyBorder="1" applyAlignment="1">
      <alignment horizontal="center" vertical="center" wrapText="1"/>
    </xf>
    <xf numFmtId="0" fontId="3" fillId="4" borderId="5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>
      <alignment vertical="center"/>
    </xf>
    <xf numFmtId="0" fontId="3" fillId="11" borderId="104" xfId="0" applyNumberFormat="1" applyFont="1" applyFill="1" applyBorder="1" applyAlignment="1">
      <alignment horizontal="center" vertical="center" wrapText="1"/>
    </xf>
    <xf numFmtId="0" fontId="14" fillId="11" borderId="104" xfId="0" applyNumberFormat="1" applyFont="1" applyFill="1" applyBorder="1" applyAlignment="1">
      <alignment horizontal="center" vertical="center" wrapText="1"/>
    </xf>
    <xf numFmtId="0" fontId="3" fillId="11" borderId="101" xfId="0" applyNumberFormat="1" applyFont="1" applyFill="1" applyBorder="1" applyAlignment="1">
      <alignment horizontal="center" vertical="center" wrapText="1"/>
    </xf>
    <xf numFmtId="0" fontId="3" fillId="11" borderId="141" xfId="0" applyNumberFormat="1" applyFont="1" applyFill="1" applyBorder="1" applyAlignment="1">
      <alignment horizontal="center" vertical="center" wrapText="1"/>
    </xf>
    <xf numFmtId="0" fontId="3" fillId="11" borderId="146" xfId="0" applyNumberFormat="1" applyFont="1" applyFill="1" applyBorder="1" applyAlignment="1">
      <alignment horizontal="center" vertical="center" wrapText="1"/>
    </xf>
    <xf numFmtId="0" fontId="14" fillId="11" borderId="34" xfId="0" applyNumberFormat="1" applyFont="1" applyFill="1" applyBorder="1" applyAlignment="1">
      <alignment horizontal="center" vertical="center" wrapText="1"/>
    </xf>
    <xf numFmtId="0" fontId="14" fillId="11" borderId="144" xfId="0" applyNumberFormat="1" applyFont="1" applyFill="1" applyBorder="1" applyAlignment="1">
      <alignment horizontal="center" vertical="center" wrapText="1"/>
    </xf>
    <xf numFmtId="0" fontId="14" fillId="11" borderId="151" xfId="0" applyNumberFormat="1" applyFont="1" applyFill="1" applyBorder="1" applyAlignment="1">
      <alignment horizontal="center" vertical="center" wrapText="1"/>
    </xf>
    <xf numFmtId="0" fontId="3" fillId="11" borderId="10" xfId="0" quotePrefix="1" applyNumberFormat="1" applyFont="1" applyFill="1" applyBorder="1" applyAlignment="1">
      <alignment horizontal="center" vertical="center" wrapText="1"/>
    </xf>
    <xf numFmtId="0" fontId="3" fillId="11" borderId="27" xfId="0" quotePrefix="1" applyNumberFormat="1" applyFont="1" applyFill="1" applyBorder="1" applyAlignment="1">
      <alignment horizontal="center" vertical="center" wrapText="1"/>
    </xf>
    <xf numFmtId="0" fontId="3" fillId="11" borderId="8" xfId="3" applyNumberFormat="1" applyFont="1" applyFill="1" applyBorder="1" applyAlignment="1">
      <alignment horizontal="center" vertical="center" wrapText="1"/>
    </xf>
    <xf numFmtId="0" fontId="3" fillId="11" borderId="7" xfId="0" quotePrefix="1" applyNumberFormat="1" applyFont="1" applyFill="1" applyBorder="1" applyAlignment="1">
      <alignment horizontal="center" vertical="center" wrapText="1"/>
    </xf>
    <xf numFmtId="0" fontId="3" fillId="11" borderId="10" xfId="0" quotePrefix="1" applyNumberFormat="1" applyFont="1" applyFill="1" applyBorder="1" applyAlignment="1">
      <alignment horizontal="center" vertical="center"/>
    </xf>
    <xf numFmtId="0" fontId="3" fillId="11" borderId="7" xfId="0" quotePrefix="1" applyNumberFormat="1" applyFont="1" applyFill="1" applyBorder="1" applyAlignment="1">
      <alignment horizontal="center" vertical="center"/>
    </xf>
    <xf numFmtId="0" fontId="3" fillId="11" borderId="114" xfId="0" quotePrefix="1" applyNumberFormat="1" applyFont="1" applyFill="1" applyBorder="1" applyAlignment="1">
      <alignment horizontal="center" vertical="center"/>
    </xf>
    <xf numFmtId="0" fontId="3" fillId="11" borderId="26" xfId="3" applyNumberFormat="1" applyFont="1" applyFill="1" applyBorder="1" applyAlignment="1">
      <alignment horizontal="center" vertical="center" wrapText="1"/>
    </xf>
    <xf numFmtId="0" fontId="3" fillId="11" borderId="24" xfId="0" quotePrefix="1" applyNumberFormat="1" applyFont="1" applyFill="1" applyBorder="1" applyAlignment="1">
      <alignment horizontal="center" vertical="center" wrapText="1"/>
    </xf>
    <xf numFmtId="0" fontId="14" fillId="4" borderId="33" xfId="0" applyNumberFormat="1" applyFont="1" applyFill="1" applyBorder="1" applyAlignment="1">
      <alignment horizontal="center" vertical="center" wrapText="1"/>
    </xf>
    <xf numFmtId="0" fontId="14" fillId="4" borderId="18" xfId="0" applyNumberFormat="1" applyFont="1" applyFill="1" applyBorder="1" applyAlignment="1">
      <alignment horizontal="center" vertical="center" wrapText="1"/>
    </xf>
    <xf numFmtId="0" fontId="14" fillId="4" borderId="82" xfId="0" applyNumberFormat="1" applyFont="1" applyFill="1" applyBorder="1" applyAlignment="1">
      <alignment horizontal="center" vertical="center" wrapText="1"/>
    </xf>
    <xf numFmtId="0" fontId="14" fillId="4" borderId="104" xfId="0" applyNumberFormat="1" applyFont="1" applyFill="1" applyBorder="1" applyAlignment="1">
      <alignment horizontal="center" vertical="center" wrapText="1"/>
    </xf>
    <xf numFmtId="0" fontId="3" fillId="4" borderId="41" xfId="0" quotePrefix="1" applyNumberFormat="1" applyFont="1" applyFill="1" applyBorder="1" applyAlignment="1">
      <alignment horizontal="center" vertical="center" wrapText="1"/>
    </xf>
    <xf numFmtId="0" fontId="3" fillId="4" borderId="34" xfId="0" quotePrefix="1" applyNumberFormat="1" applyFont="1" applyFill="1" applyBorder="1" applyAlignment="1">
      <alignment horizontal="center" vertical="center" wrapText="1"/>
    </xf>
    <xf numFmtId="0" fontId="3" fillId="4" borderId="179" xfId="0" quotePrefix="1" applyNumberFormat="1" applyFont="1" applyFill="1" applyBorder="1" applyAlignment="1">
      <alignment horizontal="center" vertical="center" wrapText="1"/>
    </xf>
    <xf numFmtId="0" fontId="3" fillId="4" borderId="41" xfId="0" applyNumberFormat="1" applyFont="1" applyFill="1" applyBorder="1" applyAlignment="1">
      <alignment horizontal="center" vertical="center" wrapText="1"/>
    </xf>
    <xf numFmtId="0" fontId="3" fillId="4" borderId="56" xfId="0" quotePrefix="1" applyNumberFormat="1" applyFont="1" applyFill="1" applyBorder="1" applyAlignment="1">
      <alignment horizontal="center" vertical="center" wrapText="1"/>
    </xf>
    <xf numFmtId="0" fontId="3" fillId="4" borderId="34" xfId="0" applyNumberFormat="1" applyFont="1" applyFill="1" applyBorder="1" applyAlignment="1">
      <alignment horizontal="center" vertical="center" wrapText="1"/>
    </xf>
    <xf numFmtId="0" fontId="3" fillId="4" borderId="31" xfId="0" quotePrefix="1" applyNumberFormat="1" applyFont="1" applyFill="1" applyBorder="1" applyAlignment="1">
      <alignment horizontal="center" vertical="center" wrapText="1"/>
    </xf>
    <xf numFmtId="0" fontId="3" fillId="4" borderId="56" xfId="0" applyNumberFormat="1" applyFont="1" applyFill="1" applyBorder="1" applyAlignment="1">
      <alignment horizontal="center" vertical="center" wrapText="1"/>
    </xf>
    <xf numFmtId="0" fontId="3" fillId="4" borderId="72" xfId="3" applyNumberFormat="1" applyFont="1" applyFill="1" applyBorder="1" applyAlignment="1">
      <alignment horizontal="center" vertical="center" wrapText="1"/>
    </xf>
    <xf numFmtId="0" fontId="3" fillId="4" borderId="9" xfId="0" quotePrefix="1" applyNumberFormat="1" applyFont="1" applyFill="1" applyBorder="1" applyAlignment="1">
      <alignment horizontal="center" vertical="center" wrapText="1"/>
    </xf>
    <xf numFmtId="0" fontId="3" fillId="4" borderId="26" xfId="0" quotePrefix="1" applyNumberFormat="1" applyFont="1" applyFill="1" applyBorder="1" applyAlignment="1">
      <alignment horizontal="center" vertical="center" wrapText="1"/>
    </xf>
    <xf numFmtId="0" fontId="3" fillId="4" borderId="16" xfId="3" quotePrefix="1" applyNumberFormat="1" applyFont="1" applyFill="1" applyBorder="1" applyAlignment="1">
      <alignment horizontal="center" vertical="center" wrapText="1"/>
    </xf>
    <xf numFmtId="0" fontId="3" fillId="4" borderId="80" xfId="0" quotePrefix="1" applyNumberFormat="1" applyFont="1" applyFill="1" applyBorder="1" applyAlignment="1">
      <alignment horizontal="center" vertical="center" wrapText="1"/>
    </xf>
    <xf numFmtId="0" fontId="3" fillId="4" borderId="80" xfId="0" quotePrefix="1" applyNumberFormat="1" applyFont="1" applyFill="1" applyBorder="1" applyAlignment="1">
      <alignment horizontal="center" vertical="center"/>
    </xf>
    <xf numFmtId="0" fontId="3" fillId="4" borderId="92" xfId="0" quotePrefix="1" applyNumberFormat="1" applyFont="1" applyFill="1" applyBorder="1" applyAlignment="1">
      <alignment horizontal="center" vertical="center"/>
    </xf>
    <xf numFmtId="0" fontId="3" fillId="4" borderId="86" xfId="0" quotePrefix="1" applyNumberFormat="1" applyFont="1" applyFill="1" applyBorder="1" applyAlignment="1">
      <alignment horizontal="center" vertical="center" wrapText="1"/>
    </xf>
    <xf numFmtId="0" fontId="3" fillId="4" borderId="81" xfId="0" quotePrefix="1" applyNumberFormat="1" applyFont="1" applyFill="1" applyBorder="1" applyAlignment="1">
      <alignment horizontal="center" vertical="center" wrapText="1"/>
    </xf>
    <xf numFmtId="0" fontId="3" fillId="4" borderId="26" xfId="3" quotePrefix="1" applyNumberFormat="1" applyFont="1" applyFill="1" applyBorder="1" applyAlignment="1">
      <alignment horizontal="center" vertical="center" wrapText="1"/>
    </xf>
    <xf numFmtId="0" fontId="3" fillId="4" borderId="18" xfId="0" quotePrefix="1" applyNumberFormat="1" applyFont="1" applyFill="1" applyBorder="1" applyAlignment="1">
      <alignment horizontal="center" vertical="center" wrapText="1"/>
    </xf>
    <xf numFmtId="0" fontId="3" fillId="4" borderId="23" xfId="3" applyNumberFormat="1" applyFont="1" applyFill="1" applyBorder="1" applyAlignment="1">
      <alignment horizontal="center" vertical="center" wrapText="1"/>
    </xf>
    <xf numFmtId="0" fontId="3" fillId="4" borderId="87" xfId="0" quotePrefix="1" applyNumberFormat="1" applyFont="1" applyFill="1" applyBorder="1" applyAlignment="1">
      <alignment horizontal="center" vertical="center" wrapText="1"/>
    </xf>
    <xf numFmtId="0" fontId="3" fillId="4" borderId="80" xfId="1" quotePrefix="1" applyNumberFormat="1" applyFont="1" applyFill="1" applyBorder="1" applyAlignment="1">
      <alignment horizontal="center" vertical="center" wrapText="1"/>
    </xf>
    <xf numFmtId="0" fontId="3" fillId="4" borderId="86" xfId="3" quotePrefix="1" applyNumberFormat="1" applyFont="1" applyFill="1" applyBorder="1" applyAlignment="1">
      <alignment horizontal="center" vertical="center" wrapText="1"/>
    </xf>
    <xf numFmtId="0" fontId="3" fillId="4" borderId="80" xfId="3" quotePrefix="1" applyNumberFormat="1" applyFont="1" applyFill="1" applyBorder="1" applyAlignment="1">
      <alignment horizontal="center" vertical="center" wrapText="1"/>
    </xf>
    <xf numFmtId="0" fontId="3" fillId="4" borderId="80" xfId="3" applyNumberFormat="1" applyFont="1" applyFill="1" applyBorder="1" applyAlignment="1">
      <alignment horizontal="center" vertical="center" wrapText="1"/>
    </xf>
    <xf numFmtId="0" fontId="3" fillId="4" borderId="80" xfId="0" applyNumberFormat="1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3" fillId="12" borderId="21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vertical="center" wrapText="1"/>
    </xf>
    <xf numFmtId="176" fontId="9" fillId="0" borderId="0" xfId="0" applyNumberFormat="1" applyFont="1" applyFill="1" applyBorder="1" applyAlignment="1">
      <alignment vertical="center" wrapText="1"/>
    </xf>
    <xf numFmtId="0" fontId="3" fillId="0" borderId="182" xfId="0" applyFont="1" applyBorder="1" applyAlignment="1">
      <alignment horizontal="center" vertical="center"/>
    </xf>
    <xf numFmtId="0" fontId="9" fillId="3" borderId="192" xfId="0" applyFont="1" applyFill="1" applyBorder="1" applyAlignment="1">
      <alignment horizontal="center" vertical="center" wrapText="1"/>
    </xf>
    <xf numFmtId="0" fontId="9" fillId="3" borderId="173" xfId="0" applyFont="1" applyFill="1" applyBorder="1" applyAlignment="1">
      <alignment horizontal="center" vertical="center" wrapText="1"/>
    </xf>
    <xf numFmtId="0" fontId="9" fillId="3" borderId="153" xfId="0" applyFont="1" applyFill="1" applyBorder="1" applyAlignment="1">
      <alignment horizontal="center" vertical="center" wrapText="1"/>
    </xf>
    <xf numFmtId="0" fontId="3" fillId="9" borderId="193" xfId="0" applyFont="1" applyFill="1" applyBorder="1" applyAlignment="1">
      <alignment horizontal="center" vertical="center" wrapText="1"/>
    </xf>
    <xf numFmtId="177" fontId="3" fillId="9" borderId="7" xfId="0" applyNumberFormat="1" applyFont="1" applyFill="1" applyBorder="1" applyAlignment="1">
      <alignment horizontal="center" vertical="center" wrapText="1"/>
    </xf>
    <xf numFmtId="0" fontId="3" fillId="9" borderId="134" xfId="0" applyFont="1" applyFill="1" applyBorder="1" applyAlignment="1">
      <alignment horizontal="center" vertical="center" shrinkToFit="1"/>
    </xf>
    <xf numFmtId="0" fontId="3" fillId="9" borderId="115" xfId="0" applyFont="1" applyFill="1" applyBorder="1" applyAlignment="1">
      <alignment horizontal="center" vertical="center" wrapText="1"/>
    </xf>
    <xf numFmtId="0" fontId="3" fillId="9" borderId="108" xfId="0" applyFont="1" applyFill="1" applyBorder="1" applyAlignment="1">
      <alignment horizontal="center" vertical="center"/>
    </xf>
    <xf numFmtId="0" fontId="3" fillId="9" borderId="108" xfId="0" applyFont="1" applyFill="1" applyBorder="1" applyAlignment="1">
      <alignment horizontal="center" vertical="center" shrinkToFit="1"/>
    </xf>
    <xf numFmtId="177" fontId="3" fillId="9" borderId="21" xfId="0" applyNumberFormat="1" applyFont="1" applyFill="1" applyBorder="1" applyAlignment="1">
      <alignment horizontal="center" vertical="center" wrapText="1"/>
    </xf>
    <xf numFmtId="0" fontId="3" fillId="9" borderId="193" xfId="0" applyFont="1" applyFill="1" applyBorder="1" applyAlignment="1">
      <alignment horizontal="center" vertical="center" shrinkToFit="1"/>
    </xf>
    <xf numFmtId="0" fontId="3" fillId="9" borderId="7" xfId="0" applyFont="1" applyFill="1" applyBorder="1" applyAlignment="1">
      <alignment horizontal="center" vertical="center" shrinkToFit="1"/>
    </xf>
    <xf numFmtId="0" fontId="3" fillId="9" borderId="115" xfId="0" applyFont="1" applyFill="1" applyBorder="1" applyAlignment="1">
      <alignment horizontal="center" vertical="center" shrinkToFit="1"/>
    </xf>
    <xf numFmtId="0" fontId="3" fillId="9" borderId="117" xfId="0" applyFont="1" applyFill="1" applyBorder="1" applyAlignment="1">
      <alignment horizontal="center" vertical="center" shrinkToFit="1"/>
    </xf>
    <xf numFmtId="0" fontId="3" fillId="9" borderId="194" xfId="0" applyFont="1" applyFill="1" applyBorder="1" applyAlignment="1">
      <alignment horizontal="center" vertical="center" shrinkToFit="1"/>
    </xf>
    <xf numFmtId="0" fontId="3" fillId="9" borderId="17" xfId="0" applyFont="1" applyFill="1" applyBorder="1" applyAlignment="1">
      <alignment horizontal="center" vertical="center" shrinkToFit="1"/>
    </xf>
    <xf numFmtId="0" fontId="13" fillId="9" borderId="21" xfId="0" applyFont="1" applyFill="1" applyBorder="1" applyAlignment="1">
      <alignment horizontal="center" vertical="center" wrapText="1" shrinkToFit="1"/>
    </xf>
    <xf numFmtId="0" fontId="3" fillId="10" borderId="21" xfId="0" applyFont="1" applyFill="1" applyBorder="1" applyAlignment="1">
      <alignment horizontal="center" vertical="center" shrinkToFit="1"/>
    </xf>
    <xf numFmtId="177" fontId="3" fillId="10" borderId="21" xfId="0" applyNumberFormat="1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 wrapText="1" shrinkToFit="1"/>
    </xf>
    <xf numFmtId="0" fontId="9" fillId="2" borderId="116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vertical="center" wrapText="1"/>
    </xf>
    <xf numFmtId="0" fontId="3" fillId="4" borderId="196" xfId="0" applyFont="1" applyFill="1" applyBorder="1" applyAlignment="1">
      <alignment horizontal="center" vertical="center" wrapText="1"/>
    </xf>
    <xf numFmtId="0" fontId="3" fillId="4" borderId="197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3" fillId="4" borderId="180" xfId="0" applyFont="1" applyFill="1" applyBorder="1" applyAlignment="1">
      <alignment horizontal="center" vertical="center" wrapText="1"/>
    </xf>
    <xf numFmtId="0" fontId="3" fillId="4" borderId="81" xfId="0" applyFont="1" applyFill="1" applyBorder="1" applyAlignment="1">
      <alignment horizontal="center" vertical="center" wrapText="1"/>
    </xf>
    <xf numFmtId="0" fontId="3" fillId="4" borderId="145" xfId="0" applyFont="1" applyFill="1" applyBorder="1" applyAlignment="1">
      <alignment horizontal="center" vertical="center" wrapText="1"/>
    </xf>
    <xf numFmtId="0" fontId="3" fillId="4" borderId="7" xfId="0" quotePrefix="1" applyFont="1" applyFill="1" applyBorder="1" applyAlignment="1">
      <alignment horizontal="center" vertical="center" wrapText="1"/>
    </xf>
    <xf numFmtId="0" fontId="9" fillId="3" borderId="178" xfId="0" applyFont="1" applyFill="1" applyBorder="1" applyAlignment="1">
      <alignment horizontal="center" vertical="center" wrapText="1"/>
    </xf>
    <xf numFmtId="0" fontId="3" fillId="4" borderId="94" xfId="0" applyNumberFormat="1" applyFont="1" applyFill="1" applyBorder="1" applyAlignment="1">
      <alignment horizontal="center" vertical="center" wrapText="1"/>
    </xf>
    <xf numFmtId="0" fontId="3" fillId="13" borderId="2" xfId="0" applyNumberFormat="1" applyFont="1" applyFill="1" applyBorder="1" applyAlignment="1">
      <alignment horizontal="center" vertical="center" wrapText="1"/>
    </xf>
    <xf numFmtId="0" fontId="3" fillId="13" borderId="18" xfId="0" applyNumberFormat="1" applyFont="1" applyFill="1" applyBorder="1" applyAlignment="1">
      <alignment horizontal="center" vertical="center" wrapText="1"/>
    </xf>
    <xf numFmtId="0" fontId="14" fillId="13" borderId="18" xfId="0" applyNumberFormat="1" applyFont="1" applyFill="1" applyBorder="1" applyAlignment="1">
      <alignment horizontal="center" vertical="center" wrapText="1"/>
    </xf>
    <xf numFmtId="0" fontId="3" fillId="13" borderId="83" xfId="0" applyNumberFormat="1" applyFont="1" applyFill="1" applyBorder="1" applyAlignment="1">
      <alignment horizontal="center" vertical="center" wrapText="1"/>
    </xf>
    <xf numFmtId="0" fontId="3" fillId="13" borderId="3" xfId="0" applyNumberFormat="1" applyFont="1" applyFill="1" applyBorder="1" applyAlignment="1">
      <alignment horizontal="center" vertical="center" wrapText="1"/>
    </xf>
    <xf numFmtId="0" fontId="3" fillId="13" borderId="21" xfId="0" applyNumberFormat="1" applyFont="1" applyFill="1" applyBorder="1" applyAlignment="1">
      <alignment horizontal="center" vertical="center" wrapText="1"/>
    </xf>
    <xf numFmtId="0" fontId="3" fillId="13" borderId="46" xfId="0" applyNumberFormat="1" applyFont="1" applyFill="1" applyBorder="1" applyAlignment="1">
      <alignment horizontal="center" vertical="center" wrapText="1"/>
    </xf>
    <xf numFmtId="0" fontId="3" fillId="4" borderId="98" xfId="0" applyNumberFormat="1" applyFont="1" applyFill="1" applyBorder="1" applyAlignment="1">
      <alignment horizontal="center" vertical="center" wrapText="1"/>
    </xf>
    <xf numFmtId="0" fontId="3" fillId="4" borderId="96" xfId="0" applyNumberFormat="1" applyFont="1" applyFill="1" applyBorder="1" applyAlignment="1">
      <alignment horizontal="center" vertical="center" wrapText="1"/>
    </xf>
    <xf numFmtId="0" fontId="14" fillId="4" borderId="96" xfId="0" applyNumberFormat="1" applyFont="1" applyFill="1" applyBorder="1" applyAlignment="1">
      <alignment horizontal="center" vertical="center" wrapText="1"/>
    </xf>
    <xf numFmtId="0" fontId="3" fillId="4" borderId="97" xfId="0" applyNumberFormat="1" applyFont="1" applyFill="1" applyBorder="1" applyAlignment="1">
      <alignment horizontal="center" vertical="center" wrapText="1"/>
    </xf>
    <xf numFmtId="0" fontId="3" fillId="4" borderId="124" xfId="0" applyNumberFormat="1" applyFont="1" applyFill="1" applyBorder="1" applyAlignment="1">
      <alignment horizontal="center" vertical="center" wrapText="1"/>
    </xf>
    <xf numFmtId="0" fontId="3" fillId="4" borderId="99" xfId="0" applyNumberFormat="1" applyFont="1" applyFill="1" applyBorder="1" applyAlignment="1">
      <alignment horizontal="center" vertical="center" wrapText="1"/>
    </xf>
    <xf numFmtId="0" fontId="3" fillId="13" borderId="150" xfId="0" applyNumberFormat="1" applyFont="1" applyFill="1" applyBorder="1" applyAlignment="1">
      <alignment horizontal="center" vertical="center" wrapText="1"/>
    </xf>
    <xf numFmtId="0" fontId="3" fillId="13" borderId="151" xfId="0" applyNumberFormat="1" applyFont="1" applyFill="1" applyBorder="1" applyAlignment="1">
      <alignment horizontal="center" vertical="center" wrapText="1"/>
    </xf>
    <xf numFmtId="0" fontId="14" fillId="13" borderId="151" xfId="0" applyNumberFormat="1" applyFont="1" applyFill="1" applyBorder="1" applyAlignment="1">
      <alignment horizontal="center" vertical="center" wrapText="1"/>
    </xf>
    <xf numFmtId="0" fontId="3" fillId="13" borderId="152" xfId="0" applyNumberFormat="1" applyFont="1" applyFill="1" applyBorder="1" applyAlignment="1">
      <alignment horizontal="center" vertical="center" wrapText="1"/>
    </xf>
    <xf numFmtId="0" fontId="3" fillId="13" borderId="153" xfId="0" applyNumberFormat="1" applyFont="1" applyFill="1" applyBorder="1" applyAlignment="1">
      <alignment horizontal="center" vertical="center" wrapText="1"/>
    </xf>
    <xf numFmtId="0" fontId="3" fillId="13" borderId="21" xfId="0" quotePrefix="1" applyNumberFormat="1" applyFont="1" applyFill="1" applyBorder="1" applyAlignment="1">
      <alignment horizontal="center" vertical="center" wrapText="1"/>
    </xf>
    <xf numFmtId="0" fontId="3" fillId="13" borderId="21" xfId="1" quotePrefix="1" applyNumberFormat="1" applyFont="1" applyFill="1" applyBorder="1" applyAlignment="1">
      <alignment horizontal="center" vertical="center" wrapText="1"/>
    </xf>
    <xf numFmtId="0" fontId="3" fillId="13" borderId="92" xfId="0" quotePrefix="1" applyNumberFormat="1" applyFont="1" applyFill="1" applyBorder="1" applyAlignment="1">
      <alignment horizontal="center" vertical="center"/>
    </xf>
    <xf numFmtId="0" fontId="3" fillId="13" borderId="21" xfId="3" quotePrefix="1" applyNumberFormat="1" applyFont="1" applyFill="1" applyBorder="1" applyAlignment="1">
      <alignment horizontal="center" vertical="center" wrapText="1"/>
    </xf>
    <xf numFmtId="0" fontId="3" fillId="13" borderId="21" xfId="3" applyNumberFormat="1" applyFont="1" applyFill="1" applyBorder="1" applyAlignment="1">
      <alignment horizontal="center" vertical="center" wrapText="1"/>
    </xf>
    <xf numFmtId="0" fontId="3" fillId="13" borderId="21" xfId="0" applyNumberFormat="1" applyFont="1" applyFill="1" applyBorder="1" applyAlignment="1">
      <alignment horizontal="center" vertical="center"/>
    </xf>
    <xf numFmtId="0" fontId="3" fillId="13" borderId="81" xfId="0" applyNumberFormat="1" applyFont="1" applyFill="1" applyBorder="1" applyAlignment="1">
      <alignment horizontal="center" vertical="center" wrapText="1"/>
    </xf>
    <xf numFmtId="0" fontId="3" fillId="13" borderId="81" xfId="0" quotePrefix="1" applyNumberFormat="1" applyFont="1" applyFill="1" applyBorder="1" applyAlignment="1">
      <alignment horizontal="center" vertical="center" wrapText="1"/>
    </xf>
    <xf numFmtId="0" fontId="3" fillId="13" borderId="7" xfId="0" quotePrefix="1" applyNumberFormat="1" applyFont="1" applyFill="1" applyBorder="1" applyAlignment="1">
      <alignment horizontal="center" vertical="center" wrapText="1"/>
    </xf>
    <xf numFmtId="0" fontId="3" fillId="13" borderId="10" xfId="0" applyNumberFormat="1" applyFont="1" applyFill="1" applyBorder="1" applyAlignment="1">
      <alignment horizontal="center" vertical="center" wrapText="1"/>
    </xf>
    <xf numFmtId="0" fontId="3" fillId="13" borderId="10" xfId="0" quotePrefix="1" applyNumberFormat="1" applyFont="1" applyFill="1" applyBorder="1" applyAlignment="1">
      <alignment horizontal="center" vertical="center" wrapText="1"/>
    </xf>
    <xf numFmtId="0" fontId="3" fillId="13" borderId="24" xfId="0" applyNumberFormat="1" applyFont="1" applyFill="1" applyBorder="1" applyAlignment="1">
      <alignment horizontal="center" vertical="center" wrapText="1"/>
    </xf>
    <xf numFmtId="0" fontId="3" fillId="13" borderId="7" xfId="1" applyNumberFormat="1" applyFont="1" applyFill="1" applyBorder="1" applyAlignment="1">
      <alignment horizontal="center" vertical="center" wrapText="1"/>
    </xf>
    <xf numFmtId="0" fontId="3" fillId="13" borderId="117" xfId="1" applyNumberFormat="1" applyFont="1" applyFill="1" applyBorder="1" applyAlignment="1">
      <alignment horizontal="center" vertical="center" wrapText="1"/>
    </xf>
    <xf numFmtId="0" fontId="3" fillId="13" borderId="54" xfId="1" applyNumberFormat="1" applyFont="1" applyFill="1" applyBorder="1" applyAlignment="1">
      <alignment horizontal="center" vertical="center" wrapText="1"/>
    </xf>
    <xf numFmtId="0" fontId="3" fillId="13" borderId="129" xfId="1" applyNumberFormat="1" applyFont="1" applyFill="1" applyBorder="1" applyAlignment="1">
      <alignment horizontal="center" vertical="center" wrapText="1"/>
    </xf>
    <xf numFmtId="0" fontId="3" fillId="13" borderId="115" xfId="1" applyNumberFormat="1" applyFont="1" applyFill="1" applyBorder="1" applyAlignment="1">
      <alignment horizontal="center" vertical="center" wrapText="1"/>
    </xf>
    <xf numFmtId="0" fontId="3" fillId="13" borderId="24" xfId="1" applyNumberFormat="1" applyFont="1" applyFill="1" applyBorder="1" applyAlignment="1">
      <alignment horizontal="center" vertical="center" wrapText="1"/>
    </xf>
    <xf numFmtId="0" fontId="3" fillId="13" borderId="6" xfId="0" quotePrefix="1" applyNumberFormat="1" applyFont="1" applyFill="1" applyBorder="1" applyAlignment="1">
      <alignment horizontal="center" vertical="center" wrapText="1"/>
    </xf>
    <xf numFmtId="0" fontId="3" fillId="13" borderId="27" xfId="0" quotePrefix="1" applyNumberFormat="1" applyFont="1" applyFill="1" applyBorder="1" applyAlignment="1">
      <alignment horizontal="center" vertical="center" wrapText="1"/>
    </xf>
    <xf numFmtId="0" fontId="3" fillId="13" borderId="24" xfId="0" quotePrefix="1" applyNumberFormat="1" applyFont="1" applyFill="1" applyBorder="1" applyAlignment="1">
      <alignment horizontal="center" vertical="center" wrapText="1"/>
    </xf>
    <xf numFmtId="0" fontId="3" fillId="13" borderId="7" xfId="0" applyNumberFormat="1" applyFont="1" applyFill="1" applyBorder="1" applyAlignment="1">
      <alignment horizontal="center" vertical="center" wrapText="1"/>
    </xf>
    <xf numFmtId="0" fontId="3" fillId="0" borderId="41" xfId="0" applyNumberFormat="1" applyFont="1" applyFill="1" applyBorder="1" applyAlignment="1">
      <alignment horizontal="center" vertical="center" wrapText="1"/>
    </xf>
    <xf numFmtId="0" fontId="3" fillId="0" borderId="17" xfId="0" applyNumberFormat="1" applyFont="1" applyFill="1" applyBorder="1" applyAlignment="1">
      <alignment horizontal="center" vertical="center" wrapText="1"/>
    </xf>
    <xf numFmtId="0" fontId="3" fillId="0" borderId="98" xfId="0" applyNumberFormat="1" applyFont="1" applyFill="1" applyBorder="1" applyAlignment="1">
      <alignment horizontal="center" vertical="center" wrapText="1"/>
    </xf>
    <xf numFmtId="0" fontId="3" fillId="0" borderId="139" xfId="0" quotePrefix="1" applyNumberFormat="1" applyFont="1" applyFill="1" applyBorder="1" applyAlignment="1">
      <alignment horizontal="center" vertical="center" wrapText="1"/>
    </xf>
    <xf numFmtId="0" fontId="3" fillId="0" borderId="111" xfId="0" applyNumberFormat="1" applyFont="1" applyFill="1" applyBorder="1" applyAlignment="1">
      <alignment horizontal="center" vertical="center" wrapText="1"/>
    </xf>
    <xf numFmtId="0" fontId="3" fillId="0" borderId="34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0" fontId="3" fillId="0" borderId="96" xfId="0" applyNumberFormat="1" applyFont="1" applyFill="1" applyBorder="1" applyAlignment="1">
      <alignment horizontal="center" vertical="center" wrapText="1"/>
    </xf>
    <xf numFmtId="0" fontId="3" fillId="0" borderId="21" xfId="0" applyNumberFormat="1" applyFont="1" applyFill="1" applyBorder="1" applyAlignment="1">
      <alignment horizontal="center" vertical="center" wrapText="1"/>
    </xf>
    <xf numFmtId="0" fontId="3" fillId="0" borderId="38" xfId="0" quotePrefix="1" applyNumberFormat="1" applyFont="1" applyFill="1" applyBorder="1" applyAlignment="1">
      <alignment horizontal="center" vertical="center" wrapText="1"/>
    </xf>
    <xf numFmtId="0" fontId="3" fillId="0" borderId="8" xfId="1" applyNumberFormat="1" applyFont="1" applyFill="1" applyBorder="1" applyAlignment="1">
      <alignment horizontal="center" vertical="center" wrapText="1"/>
    </xf>
    <xf numFmtId="0" fontId="3" fillId="0" borderId="21" xfId="0" quotePrefix="1" applyNumberFormat="1" applyFont="1" applyFill="1" applyBorder="1" applyAlignment="1">
      <alignment horizontal="center" vertical="center" wrapText="1"/>
    </xf>
    <xf numFmtId="0" fontId="3" fillId="0" borderId="38" xfId="0" applyNumberFormat="1" applyFont="1" applyFill="1" applyBorder="1" applyAlignment="1">
      <alignment horizontal="center" vertical="center" wrapText="1"/>
    </xf>
    <xf numFmtId="0" fontId="3" fillId="0" borderId="56" xfId="0" applyNumberFormat="1" applyFont="1" applyFill="1" applyBorder="1" applyAlignment="1">
      <alignment horizontal="center" vertical="center" wrapText="1"/>
    </xf>
    <xf numFmtId="0" fontId="3" fillId="0" borderId="23" xfId="0" applyNumberFormat="1" applyFont="1" applyFill="1" applyBorder="1" applyAlignment="1">
      <alignment horizontal="center" vertical="center" wrapText="1"/>
    </xf>
    <xf numFmtId="0" fontId="3" fillId="0" borderId="23" xfId="1" applyNumberFormat="1" applyFont="1" applyFill="1" applyBorder="1" applyAlignment="1">
      <alignment horizontal="center" vertical="center" wrapText="1"/>
    </xf>
    <xf numFmtId="0" fontId="3" fillId="0" borderId="97" xfId="0" applyNumberFormat="1" applyFont="1" applyFill="1" applyBorder="1" applyAlignment="1">
      <alignment horizontal="center" vertical="center" wrapText="1"/>
    </xf>
    <xf numFmtId="0" fontId="3" fillId="0" borderId="22" xfId="0" applyNumberFormat="1" applyFont="1" applyFill="1" applyBorder="1" applyAlignment="1">
      <alignment horizontal="center" vertical="center" wrapText="1"/>
    </xf>
    <xf numFmtId="0" fontId="3" fillId="0" borderId="40" xfId="0" quotePrefix="1" applyNumberFormat="1" applyFont="1" applyFill="1" applyBorder="1" applyAlignment="1">
      <alignment horizontal="center" vertical="center" wrapText="1"/>
    </xf>
    <xf numFmtId="0" fontId="3" fillId="0" borderId="1" xfId="3" applyNumberFormat="1" applyFont="1" applyFill="1" applyBorder="1" applyAlignment="1">
      <alignment horizontal="center" vertical="center" wrapText="1"/>
    </xf>
    <xf numFmtId="0" fontId="3" fillId="0" borderId="62" xfId="1" applyNumberFormat="1" applyFont="1" applyFill="1" applyBorder="1" applyAlignment="1">
      <alignment horizontal="center" vertical="center" wrapText="1"/>
    </xf>
    <xf numFmtId="0" fontId="3" fillId="0" borderId="111" xfId="1" quotePrefix="1" applyNumberFormat="1" applyFont="1" applyFill="1" applyBorder="1" applyAlignment="1">
      <alignment horizontal="center" vertical="center" wrapText="1"/>
    </xf>
    <xf numFmtId="0" fontId="3" fillId="0" borderId="21" xfId="3" applyNumberFormat="1" applyFont="1" applyFill="1" applyBorder="1" applyAlignment="1">
      <alignment horizontal="center" vertical="center" wrapText="1"/>
    </xf>
    <xf numFmtId="0" fontId="3" fillId="0" borderId="96" xfId="3" applyNumberFormat="1" applyFont="1" applyFill="1" applyBorder="1" applyAlignment="1">
      <alignment horizontal="center" vertical="center" wrapText="1"/>
    </xf>
    <xf numFmtId="0" fontId="3" fillId="0" borderId="21" xfId="1" applyNumberFormat="1" applyFont="1" applyFill="1" applyBorder="1" applyAlignment="1">
      <alignment horizontal="center" vertical="center" wrapText="1"/>
    </xf>
    <xf numFmtId="0" fontId="3" fillId="0" borderId="38" xfId="1" quotePrefix="1" applyNumberFormat="1" applyFont="1" applyFill="1" applyBorder="1" applyAlignment="1">
      <alignment horizontal="center" vertical="center" wrapText="1"/>
    </xf>
    <xf numFmtId="0" fontId="3" fillId="0" borderId="38" xfId="1" applyNumberFormat="1" applyFont="1" applyFill="1" applyBorder="1" applyAlignment="1">
      <alignment horizontal="center" vertical="center" wrapText="1"/>
    </xf>
    <xf numFmtId="0" fontId="3" fillId="0" borderId="21" xfId="0" applyNumberFormat="1" applyFont="1" applyFill="1" applyBorder="1" applyAlignment="1">
      <alignment horizontal="center" vertical="center"/>
    </xf>
    <xf numFmtId="0" fontId="3" fillId="0" borderId="180" xfId="0" applyNumberFormat="1" applyFont="1" applyFill="1" applyBorder="1" applyAlignment="1">
      <alignment horizontal="center" vertical="center" wrapText="1"/>
    </xf>
    <xf numFmtId="0" fontId="3" fillId="0" borderId="180" xfId="3" applyNumberFormat="1" applyFont="1" applyFill="1" applyBorder="1" applyAlignment="1">
      <alignment horizontal="center" vertical="center" wrapText="1"/>
    </xf>
    <xf numFmtId="0" fontId="3" fillId="0" borderId="22" xfId="1" applyNumberFormat="1" applyFont="1" applyFill="1" applyBorder="1" applyAlignment="1">
      <alignment horizontal="center" vertical="center" wrapText="1"/>
    </xf>
    <xf numFmtId="0" fontId="3" fillId="0" borderId="40" xfId="1" quotePrefix="1" applyNumberFormat="1" applyFont="1" applyFill="1" applyBorder="1" applyAlignment="1">
      <alignment horizontal="center" vertical="center" wrapText="1"/>
    </xf>
    <xf numFmtId="0" fontId="3" fillId="0" borderId="31" xfId="0" applyNumberFormat="1" applyFont="1" applyFill="1" applyBorder="1" applyAlignment="1">
      <alignment horizontal="center" vertical="center" wrapText="1"/>
    </xf>
    <xf numFmtId="0" fontId="3" fillId="0" borderId="26" xfId="0" applyNumberFormat="1" applyFont="1" applyFill="1" applyBorder="1" applyAlignment="1">
      <alignment horizontal="center" vertical="center" wrapText="1"/>
    </xf>
    <xf numFmtId="0" fontId="3" fillId="0" borderId="99" xfId="1" applyNumberFormat="1" applyFont="1" applyFill="1" applyBorder="1" applyAlignment="1">
      <alignment horizontal="center" vertical="center" wrapText="1"/>
    </xf>
    <xf numFmtId="0" fontId="3" fillId="0" borderId="111" xfId="0" quotePrefix="1" applyNumberFormat="1" applyFont="1" applyFill="1" applyBorder="1" applyAlignment="1">
      <alignment horizontal="center" vertical="center" wrapText="1"/>
    </xf>
    <xf numFmtId="0" fontId="3" fillId="0" borderId="96" xfId="1" applyNumberFormat="1" applyFont="1" applyFill="1" applyBorder="1" applyAlignment="1">
      <alignment horizontal="center" vertical="center" wrapText="1"/>
    </xf>
    <xf numFmtId="0" fontId="3" fillId="0" borderId="22" xfId="0" quotePrefix="1" applyNumberFormat="1" applyFont="1" applyFill="1" applyBorder="1" applyAlignment="1">
      <alignment horizontal="center" vertical="center" wrapText="1"/>
    </xf>
    <xf numFmtId="0" fontId="3" fillId="0" borderId="40" xfId="0" applyNumberFormat="1" applyFont="1" applyFill="1" applyBorder="1" applyAlignment="1">
      <alignment horizontal="center" vertical="center" wrapText="1"/>
    </xf>
    <xf numFmtId="0" fontId="3" fillId="0" borderId="99" xfId="0" applyNumberFormat="1" applyFont="1" applyFill="1" applyBorder="1" applyAlignment="1">
      <alignment horizontal="center" vertical="center" wrapText="1"/>
    </xf>
    <xf numFmtId="0" fontId="3" fillId="0" borderId="109" xfId="0" applyNumberFormat="1" applyFont="1" applyFill="1" applyBorder="1" applyAlignment="1">
      <alignment horizontal="center" vertical="center" wrapText="1"/>
    </xf>
    <xf numFmtId="0" fontId="3" fillId="13" borderId="5" xfId="0" applyNumberFormat="1" applyFont="1" applyFill="1" applyBorder="1" applyAlignment="1">
      <alignment horizontal="center" vertical="center" wrapText="1"/>
    </xf>
    <xf numFmtId="0" fontId="3" fillId="13" borderId="11" xfId="0" applyNumberFormat="1" applyFont="1" applyFill="1" applyBorder="1" applyAlignment="1">
      <alignment horizontal="center" vertical="center" wrapText="1"/>
    </xf>
    <xf numFmtId="0" fontId="3" fillId="13" borderId="25" xfId="0" applyNumberFormat="1" applyFont="1" applyFill="1" applyBorder="1" applyAlignment="1">
      <alignment horizontal="center" vertical="center" wrapText="1"/>
    </xf>
    <xf numFmtId="0" fontId="3" fillId="13" borderId="0" xfId="0" applyNumberFormat="1" applyFont="1" applyFill="1" applyBorder="1" applyAlignment="1">
      <alignment horizontal="center" vertical="center" wrapText="1"/>
    </xf>
    <xf numFmtId="0" fontId="3" fillId="13" borderId="28" xfId="0" applyNumberFormat="1" applyFont="1" applyFill="1" applyBorder="1" applyAlignment="1">
      <alignment horizontal="center" vertical="center" wrapText="1"/>
    </xf>
    <xf numFmtId="0" fontId="3" fillId="13" borderId="17" xfId="0" applyNumberFormat="1" applyFont="1" applyFill="1" applyBorder="1" applyAlignment="1">
      <alignment horizontal="center" vertical="center" wrapText="1"/>
    </xf>
    <xf numFmtId="0" fontId="3" fillId="13" borderId="8" xfId="0" applyNumberFormat="1" applyFont="1" applyFill="1" applyBorder="1" applyAlignment="1">
      <alignment horizontal="center" vertical="center" wrapText="1"/>
    </xf>
    <xf numFmtId="0" fontId="3" fillId="13" borderId="23" xfId="0" applyNumberFormat="1" applyFont="1" applyFill="1" applyBorder="1" applyAlignment="1">
      <alignment horizontal="center" vertical="center" wrapText="1"/>
    </xf>
    <xf numFmtId="0" fontId="3" fillId="13" borderId="1" xfId="0" applyNumberFormat="1" applyFont="1" applyFill="1" applyBorder="1" applyAlignment="1">
      <alignment horizontal="center" vertical="center" wrapText="1"/>
    </xf>
    <xf numFmtId="0" fontId="3" fillId="13" borderId="180" xfId="0" applyNumberFormat="1" applyFont="1" applyFill="1" applyBorder="1" applyAlignment="1">
      <alignment horizontal="center" vertical="center" wrapText="1"/>
    </xf>
    <xf numFmtId="0" fontId="3" fillId="13" borderId="73" xfId="3" applyNumberFormat="1" applyFont="1" applyFill="1" applyBorder="1" applyAlignment="1">
      <alignment horizontal="center" vertical="center" wrapText="1"/>
    </xf>
    <xf numFmtId="0" fontId="3" fillId="13" borderId="74" xfId="3" applyNumberFormat="1" applyFont="1" applyFill="1" applyBorder="1" applyAlignment="1">
      <alignment horizontal="center" vertical="center" wrapText="1"/>
    </xf>
    <xf numFmtId="0" fontId="3" fillId="13" borderId="75" xfId="3" applyNumberFormat="1" applyFont="1" applyFill="1" applyBorder="1" applyAlignment="1">
      <alignment horizontal="center" vertical="center" wrapText="1"/>
    </xf>
    <xf numFmtId="0" fontId="3" fillId="13" borderId="30" xfId="3" applyNumberFormat="1" applyFont="1" applyFill="1" applyBorder="1" applyAlignment="1">
      <alignment horizontal="center" vertical="center" wrapText="1"/>
    </xf>
    <xf numFmtId="0" fontId="3" fillId="13" borderId="26" xfId="0" applyNumberFormat="1" applyFont="1" applyFill="1" applyBorder="1" applyAlignment="1">
      <alignment horizontal="center" vertical="center" wrapText="1"/>
    </xf>
    <xf numFmtId="0" fontId="3" fillId="13" borderId="181" xfId="0" applyNumberFormat="1" applyFont="1" applyFill="1" applyBorder="1" applyAlignment="1">
      <alignment horizontal="center" vertical="center"/>
    </xf>
    <xf numFmtId="0" fontId="3" fillId="13" borderId="8" xfId="0" applyNumberFormat="1" applyFont="1" applyFill="1" applyBorder="1" applyAlignment="1">
      <alignment horizontal="center" vertical="center"/>
    </xf>
    <xf numFmtId="0" fontId="3" fillId="13" borderId="130" xfId="0" quotePrefix="1" applyNumberFormat="1" applyFont="1" applyFill="1" applyBorder="1" applyAlignment="1">
      <alignment horizontal="center" vertical="center" wrapText="1"/>
    </xf>
    <xf numFmtId="0" fontId="3" fillId="13" borderId="37" xfId="0" applyNumberFormat="1" applyFont="1" applyFill="1" applyBorder="1" applyAlignment="1">
      <alignment horizontal="center" vertical="center" wrapText="1"/>
    </xf>
    <xf numFmtId="0" fontId="3" fillId="13" borderId="37" xfId="0" quotePrefix="1" applyNumberFormat="1" applyFont="1" applyFill="1" applyBorder="1" applyAlignment="1">
      <alignment horizontal="center" vertical="center" wrapText="1"/>
    </xf>
    <xf numFmtId="0" fontId="3" fillId="13" borderId="39" xfId="0" applyNumberFormat="1" applyFont="1" applyFill="1" applyBorder="1" applyAlignment="1">
      <alignment horizontal="center" vertical="center" wrapText="1"/>
    </xf>
    <xf numFmtId="0" fontId="3" fillId="13" borderId="130" xfId="1" applyNumberFormat="1" applyFont="1" applyFill="1" applyBorder="1" applyAlignment="1">
      <alignment horizontal="center" vertical="center" wrapText="1"/>
    </xf>
    <xf numFmtId="0" fontId="3" fillId="13" borderId="37" xfId="1" applyNumberFormat="1" applyFont="1" applyFill="1" applyBorder="1" applyAlignment="1">
      <alignment horizontal="center" vertical="center" wrapText="1"/>
    </xf>
    <xf numFmtId="0" fontId="3" fillId="13" borderId="39" xfId="1" applyNumberFormat="1" applyFont="1" applyFill="1" applyBorder="1" applyAlignment="1">
      <alignment horizontal="center" vertical="center" wrapText="1"/>
    </xf>
    <xf numFmtId="0" fontId="3" fillId="13" borderId="39" xfId="0" quotePrefix="1" applyNumberFormat="1" applyFont="1" applyFill="1" applyBorder="1" applyAlignment="1">
      <alignment horizontal="center" vertical="center" wrapText="1"/>
    </xf>
    <xf numFmtId="0" fontId="3" fillId="13" borderId="140" xfId="0" applyNumberFormat="1" applyFont="1" applyFill="1" applyBorder="1" applyAlignment="1">
      <alignment horizontal="center" vertical="center" wrapText="1"/>
    </xf>
    <xf numFmtId="0" fontId="3" fillId="13" borderId="135" xfId="0" quotePrefix="1" applyNumberFormat="1" applyFont="1" applyFill="1" applyBorder="1" applyAlignment="1">
      <alignment horizontal="center" vertical="center" wrapText="1"/>
    </xf>
    <xf numFmtId="0" fontId="3" fillId="13" borderId="134" xfId="0" applyNumberFormat="1" applyFont="1" applyFill="1" applyBorder="1" applyAlignment="1">
      <alignment horizontal="center" vertical="center" wrapText="1"/>
    </xf>
    <xf numFmtId="0" fontId="3" fillId="13" borderId="134" xfId="0" quotePrefix="1" applyNumberFormat="1" applyFont="1" applyFill="1" applyBorder="1" applyAlignment="1">
      <alignment horizontal="center" vertical="center" wrapText="1"/>
    </xf>
    <xf numFmtId="0" fontId="3" fillId="13" borderId="136" xfId="0" applyNumberFormat="1" applyFont="1" applyFill="1" applyBorder="1" applyAlignment="1">
      <alignment horizontal="center" vertical="center" wrapText="1"/>
    </xf>
    <xf numFmtId="0" fontId="3" fillId="13" borderId="135" xfId="1" applyNumberFormat="1" applyFont="1" applyFill="1" applyBorder="1" applyAlignment="1">
      <alignment horizontal="center" vertical="center" wrapText="1"/>
    </xf>
    <xf numFmtId="0" fontId="3" fillId="13" borderId="134" xfId="1" applyNumberFormat="1" applyFont="1" applyFill="1" applyBorder="1" applyAlignment="1">
      <alignment horizontal="center" vertical="center" wrapText="1"/>
    </xf>
    <xf numFmtId="0" fontId="3" fillId="13" borderId="136" xfId="1" applyNumberFormat="1" applyFont="1" applyFill="1" applyBorder="1" applyAlignment="1">
      <alignment horizontal="center" vertical="center" wrapText="1"/>
    </xf>
    <xf numFmtId="0" fontId="3" fillId="13" borderId="136" xfId="0" quotePrefix="1" applyNumberFormat="1" applyFont="1" applyFill="1" applyBorder="1" applyAlignment="1">
      <alignment horizontal="center" vertical="center" wrapText="1"/>
    </xf>
    <xf numFmtId="0" fontId="3" fillId="13" borderId="109" xfId="0" applyNumberFormat="1" applyFont="1" applyFill="1" applyBorder="1" applyAlignment="1">
      <alignment horizontal="center" vertical="center" wrapText="1"/>
    </xf>
    <xf numFmtId="0" fontId="3" fillId="4" borderId="141" xfId="0" applyNumberFormat="1" applyFont="1" applyFill="1" applyBorder="1" applyAlignment="1">
      <alignment horizontal="center" vertical="center" wrapText="1"/>
    </xf>
    <xf numFmtId="0" fontId="3" fillId="11" borderId="18" xfId="0" applyNumberFormat="1" applyFont="1" applyFill="1" applyBorder="1" applyAlignment="1">
      <alignment horizontal="center" vertical="center" wrapText="1"/>
    </xf>
    <xf numFmtId="0" fontId="3" fillId="4" borderId="96" xfId="1" applyNumberFormat="1" applyFont="1" applyFill="1" applyBorder="1" applyAlignment="1">
      <alignment horizontal="center" vertical="center" wrapText="1"/>
    </xf>
    <xf numFmtId="0" fontId="9" fillId="2" borderId="121" xfId="0" applyFont="1" applyFill="1" applyBorder="1" applyAlignment="1">
      <alignment horizontal="center" vertical="center" wrapText="1"/>
    </xf>
    <xf numFmtId="0" fontId="9" fillId="2" borderId="123" xfId="0" applyFont="1" applyFill="1" applyBorder="1" applyAlignment="1">
      <alignment horizontal="center" vertical="center" wrapText="1"/>
    </xf>
    <xf numFmtId="0" fontId="9" fillId="2" borderId="116" xfId="0" applyFont="1" applyFill="1" applyBorder="1" applyAlignment="1">
      <alignment horizontal="center" vertical="center" wrapText="1"/>
    </xf>
    <xf numFmtId="0" fontId="9" fillId="2" borderId="108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10" xfId="2" applyFont="1" applyFill="1" applyBorder="1" applyAlignment="1">
      <alignment horizontal="center" vertical="center" wrapText="1"/>
    </xf>
    <xf numFmtId="0" fontId="3" fillId="14" borderId="144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4" borderId="8" xfId="1" applyFont="1" applyFill="1" applyBorder="1" applyAlignment="1">
      <alignment horizontal="center" vertical="center" wrapText="1"/>
    </xf>
    <xf numFmtId="0" fontId="3" fillId="14" borderId="10" xfId="1" applyFont="1" applyFill="1" applyBorder="1" applyAlignment="1">
      <alignment horizontal="center" vertical="center" wrapText="1"/>
    </xf>
    <xf numFmtId="0" fontId="3" fillId="15" borderId="27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3" fillId="15" borderId="7" xfId="0" applyFont="1" applyFill="1" applyBorder="1" applyAlignment="1">
      <alignment horizontal="center" vertical="center" wrapText="1"/>
    </xf>
    <xf numFmtId="0" fontId="3" fillId="15" borderId="24" xfId="0" applyFont="1" applyFill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143" xfId="0" applyFont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9" fillId="2" borderId="121" xfId="0" applyFont="1" applyFill="1" applyBorder="1" applyAlignment="1">
      <alignment horizontal="center" vertical="center" wrapText="1"/>
    </xf>
    <xf numFmtId="0" fontId="9" fillId="2" borderId="123" xfId="0" applyFont="1" applyFill="1" applyBorder="1" applyAlignment="1">
      <alignment horizontal="center" vertical="center" wrapText="1"/>
    </xf>
    <xf numFmtId="0" fontId="9" fillId="2" borderId="120" xfId="0" applyFont="1" applyFill="1" applyBorder="1" applyAlignment="1">
      <alignment horizontal="center" vertical="center" wrapText="1"/>
    </xf>
    <xf numFmtId="0" fontId="9" fillId="2" borderId="171" xfId="0" applyFont="1" applyFill="1" applyBorder="1" applyAlignment="1">
      <alignment horizontal="center" vertical="center" wrapText="1"/>
    </xf>
    <xf numFmtId="0" fontId="9" fillId="2" borderId="103" xfId="0" applyFont="1" applyFill="1" applyBorder="1" applyAlignment="1">
      <alignment horizontal="center" vertical="center" wrapText="1"/>
    </xf>
    <xf numFmtId="0" fontId="9" fillId="2" borderId="172" xfId="0" applyFont="1" applyFill="1" applyBorder="1" applyAlignment="1">
      <alignment horizontal="center" vertical="center" wrapText="1"/>
    </xf>
    <xf numFmtId="0" fontId="9" fillId="2" borderId="170" xfId="0" applyFont="1" applyFill="1" applyBorder="1" applyAlignment="1">
      <alignment horizontal="center" vertical="center" wrapText="1"/>
    </xf>
    <xf numFmtId="0" fontId="9" fillId="2" borderId="118" xfId="0" applyFont="1" applyFill="1" applyBorder="1" applyAlignment="1">
      <alignment horizontal="center" vertical="center" wrapText="1"/>
    </xf>
    <xf numFmtId="0" fontId="9" fillId="2" borderId="155" xfId="0" applyFont="1" applyFill="1" applyBorder="1" applyAlignment="1">
      <alignment horizontal="center" vertical="center" wrapText="1"/>
    </xf>
    <xf numFmtId="176" fontId="9" fillId="2" borderId="58" xfId="0" applyNumberFormat="1" applyFont="1" applyFill="1" applyBorder="1" applyAlignment="1">
      <alignment horizontal="center" vertical="center" wrapText="1"/>
    </xf>
    <xf numFmtId="176" fontId="9" fillId="2" borderId="172" xfId="0" applyNumberFormat="1" applyFont="1" applyFill="1" applyBorder="1" applyAlignment="1">
      <alignment horizontal="center" vertical="center" wrapText="1"/>
    </xf>
    <xf numFmtId="176" fontId="9" fillId="2" borderId="59" xfId="0" applyNumberFormat="1" applyFont="1" applyFill="1" applyBorder="1" applyAlignment="1">
      <alignment horizontal="center" vertical="center" wrapText="1"/>
    </xf>
    <xf numFmtId="176" fontId="9" fillId="2" borderId="173" xfId="0" applyNumberFormat="1" applyFont="1" applyFill="1" applyBorder="1" applyAlignment="1">
      <alignment horizontal="center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3" fillId="4" borderId="174" xfId="0" applyFont="1" applyFill="1" applyBorder="1" applyAlignment="1">
      <alignment horizontal="center" vertical="center" wrapText="1"/>
    </xf>
    <xf numFmtId="0" fontId="3" fillId="4" borderId="93" xfId="0" applyFont="1" applyFill="1" applyBorder="1" applyAlignment="1">
      <alignment horizontal="center" vertical="center" wrapText="1"/>
    </xf>
    <xf numFmtId="0" fontId="3" fillId="4" borderId="155" xfId="0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9" fillId="2" borderId="126" xfId="0" applyFont="1" applyFill="1" applyBorder="1" applyAlignment="1">
      <alignment horizontal="center" vertical="center" wrapText="1"/>
    </xf>
    <xf numFmtId="0" fontId="9" fillId="2" borderId="127" xfId="0" applyFont="1" applyFill="1" applyBorder="1" applyAlignment="1">
      <alignment horizontal="center" vertical="center" wrapText="1"/>
    </xf>
    <xf numFmtId="0" fontId="9" fillId="2" borderId="128" xfId="0" applyFont="1" applyFill="1" applyBorder="1" applyAlignment="1">
      <alignment horizontal="center" vertical="center" wrapText="1"/>
    </xf>
    <xf numFmtId="0" fontId="9" fillId="2" borderId="108" xfId="0" applyFont="1" applyFill="1" applyBorder="1" applyAlignment="1">
      <alignment horizontal="center" vertical="center" wrapText="1"/>
    </xf>
    <xf numFmtId="0" fontId="9" fillId="2" borderId="116" xfId="0" applyFont="1" applyFill="1" applyBorder="1" applyAlignment="1">
      <alignment horizontal="center" vertical="center" wrapText="1"/>
    </xf>
    <xf numFmtId="0" fontId="2" fillId="4" borderId="189" xfId="3" applyFont="1" applyFill="1" applyBorder="1" applyAlignment="1">
      <alignment horizontal="center" vertical="center" wrapText="1"/>
    </xf>
    <xf numFmtId="0" fontId="2" fillId="4" borderId="190" xfId="3" applyFont="1" applyFill="1" applyBorder="1" applyAlignment="1">
      <alignment horizontal="center" vertical="center" wrapText="1"/>
    </xf>
    <xf numFmtId="0" fontId="2" fillId="4" borderId="191" xfId="3" applyFont="1" applyFill="1" applyBorder="1" applyAlignment="1">
      <alignment horizontal="center" vertical="center" wrapText="1"/>
    </xf>
    <xf numFmtId="0" fontId="9" fillId="3" borderId="55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2" fillId="0" borderId="10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49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9" fillId="2" borderId="158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0" fontId="9" fillId="2" borderId="159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3" borderId="126" xfId="0" applyFont="1" applyFill="1" applyBorder="1" applyAlignment="1">
      <alignment horizontal="center" vertical="center" wrapText="1"/>
    </xf>
    <xf numFmtId="0" fontId="9" fillId="3" borderId="127" xfId="0" applyFont="1" applyFill="1" applyBorder="1" applyAlignment="1">
      <alignment horizontal="center" vertical="center" wrapText="1"/>
    </xf>
    <xf numFmtId="0" fontId="9" fillId="3" borderId="128" xfId="0" applyFont="1" applyFill="1" applyBorder="1" applyAlignment="1">
      <alignment horizontal="center" vertical="center" wrapText="1"/>
    </xf>
    <xf numFmtId="0" fontId="9" fillId="3" borderId="141" xfId="0" applyFont="1" applyFill="1" applyBorder="1" applyAlignment="1">
      <alignment horizontal="center" vertical="center" wrapText="1"/>
    </xf>
    <xf numFmtId="0" fontId="9" fillId="3" borderId="85" xfId="0" applyFont="1" applyFill="1" applyBorder="1" applyAlignment="1">
      <alignment horizontal="center" vertical="center" wrapText="1"/>
    </xf>
    <xf numFmtId="0" fontId="9" fillId="3" borderId="84" xfId="0" applyFont="1" applyFill="1" applyBorder="1" applyAlignment="1">
      <alignment horizontal="center" vertical="center" wrapText="1"/>
    </xf>
    <xf numFmtId="0" fontId="9" fillId="3" borderId="99" xfId="0" applyFont="1" applyFill="1" applyBorder="1" applyAlignment="1">
      <alignment horizontal="center" vertical="center" wrapText="1"/>
    </xf>
    <xf numFmtId="176" fontId="9" fillId="2" borderId="131" xfId="0" applyNumberFormat="1" applyFont="1" applyFill="1" applyBorder="1" applyAlignment="1">
      <alignment horizontal="center" vertical="center" wrapText="1"/>
    </xf>
    <xf numFmtId="176" fontId="9" fillId="2" borderId="155" xfId="0" applyNumberFormat="1" applyFont="1" applyFill="1" applyBorder="1" applyAlignment="1">
      <alignment horizontal="center" vertical="center" wrapText="1"/>
    </xf>
    <xf numFmtId="0" fontId="9" fillId="2" borderId="195" xfId="0" applyFont="1" applyFill="1" applyBorder="1" applyAlignment="1">
      <alignment horizontal="center" vertical="center" wrapText="1"/>
    </xf>
    <xf numFmtId="176" fontId="9" fillId="2" borderId="176" xfId="0" applyNumberFormat="1" applyFont="1" applyFill="1" applyBorder="1" applyAlignment="1">
      <alignment horizontal="center" vertical="center" wrapText="1"/>
    </xf>
    <xf numFmtId="176" fontId="9" fillId="2" borderId="93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6">
    <cellStyle name="나쁨" xfId="1" builtinId="27"/>
    <cellStyle name="메모" xfId="3" builtinId="10"/>
    <cellStyle name="보통" xfId="2" builtinId="28" customBuiltin="1"/>
    <cellStyle name="보통 2" xfId="5" xr:uid="{798B3A5A-8339-4C11-B5FB-EED2E0F660DC}"/>
    <cellStyle name="셀 확인" xfId="4" builtinId="23" hidden="1"/>
    <cellStyle name="표준" xfId="0" builtinId="0"/>
  </cellStyles>
  <dxfs count="0"/>
  <tableStyles count="0" defaultTableStyle="TableStyleMedium9" defaultPivotStyle="PivotStyleLight16"/>
  <colors>
    <mruColors>
      <color rgb="FFDCE6F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50"/>
  <sheetViews>
    <sheetView tabSelected="1" zoomScaleNormal="100" workbookViewId="0">
      <pane xSplit="20" ySplit="6" topLeftCell="AS29" activePane="bottomRight" state="frozen"/>
      <selection pane="topRight" activeCell="S1" sqref="S1"/>
      <selection pane="bottomLeft" activeCell="A7" sqref="A7"/>
      <selection pane="bottomRight" activeCell="J30" sqref="J30"/>
    </sheetView>
  </sheetViews>
  <sheetFormatPr defaultColWidth="9" defaultRowHeight="16.5" x14ac:dyDescent="0.3"/>
  <cols>
    <col min="1" max="1" width="6.125" style="1" customWidth="1"/>
    <col min="2" max="58" width="5.125" style="1" customWidth="1"/>
    <col min="59" max="59" width="4.625" style="1" customWidth="1"/>
    <col min="60" max="60" width="5.375" style="1" bestFit="1" customWidth="1"/>
    <col min="61" max="61" width="9" style="1" customWidth="1"/>
    <col min="62" max="16384" width="9" style="1"/>
  </cols>
  <sheetData>
    <row r="1" spans="1:60" ht="27" customHeight="1" x14ac:dyDescent="0.3">
      <c r="A1" s="528" t="s">
        <v>452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</row>
    <row r="2" spans="1:60" ht="17.25" thickBot="1" x14ac:dyDescent="0.35">
      <c r="AL2" s="133"/>
      <c r="AM2" s="133"/>
      <c r="AN2" s="133"/>
    </row>
    <row r="3" spans="1:60" ht="15" customHeight="1" x14ac:dyDescent="0.3">
      <c r="A3" s="534" t="s">
        <v>27</v>
      </c>
      <c r="B3" s="537" t="s">
        <v>28</v>
      </c>
      <c r="C3" s="514" t="s">
        <v>0</v>
      </c>
      <c r="D3" s="515"/>
      <c r="E3" s="515"/>
      <c r="F3" s="515"/>
      <c r="G3" s="515"/>
      <c r="H3" s="516"/>
      <c r="I3" s="515" t="s">
        <v>29</v>
      </c>
      <c r="J3" s="515"/>
      <c r="K3" s="515"/>
      <c r="L3" s="515"/>
      <c r="M3" s="515"/>
      <c r="N3" s="515"/>
      <c r="O3" s="517" t="s">
        <v>1</v>
      </c>
      <c r="P3" s="518"/>
      <c r="Q3" s="518"/>
      <c r="R3" s="518"/>
      <c r="S3" s="518"/>
      <c r="T3" s="519"/>
      <c r="U3" s="525" t="s">
        <v>2</v>
      </c>
      <c r="V3" s="527"/>
      <c r="W3" s="525" t="s">
        <v>3</v>
      </c>
      <c r="X3" s="526"/>
      <c r="Y3" s="525" t="s">
        <v>4</v>
      </c>
      <c r="Z3" s="526"/>
      <c r="AA3" s="527"/>
      <c r="AB3" s="44" t="s">
        <v>5</v>
      </c>
      <c r="AC3" s="145" t="s">
        <v>160</v>
      </c>
      <c r="AD3" s="44" t="s">
        <v>68</v>
      </c>
      <c r="AE3" s="145" t="s">
        <v>7</v>
      </c>
      <c r="AF3" s="525" t="s">
        <v>8</v>
      </c>
      <c r="AG3" s="526"/>
      <c r="AH3" s="527"/>
      <c r="AI3" s="330" t="s">
        <v>9</v>
      </c>
      <c r="AJ3" s="44" t="s">
        <v>10</v>
      </c>
      <c r="AK3" s="145" t="s">
        <v>11</v>
      </c>
      <c r="AL3" s="525" t="s">
        <v>12</v>
      </c>
      <c r="AM3" s="526"/>
      <c r="AN3" s="526"/>
      <c r="AO3" s="526"/>
      <c r="AP3" s="526"/>
      <c r="AQ3" s="526"/>
      <c r="AR3" s="526"/>
      <c r="AS3" s="526"/>
      <c r="AT3" s="526"/>
      <c r="AU3" s="527"/>
      <c r="AV3" s="549" t="s">
        <v>64</v>
      </c>
      <c r="AW3" s="550"/>
      <c r="AX3" s="551"/>
      <c r="AY3" s="551"/>
      <c r="AZ3" s="551"/>
      <c r="BA3" s="551"/>
      <c r="BB3" s="552"/>
      <c r="BC3" s="546" t="s">
        <v>205</v>
      </c>
      <c r="BD3" s="547"/>
      <c r="BE3" s="547"/>
      <c r="BF3" s="548"/>
      <c r="BG3" s="544"/>
      <c r="BH3" s="545"/>
    </row>
    <row r="4" spans="1:60" ht="15" customHeight="1" x14ac:dyDescent="0.3">
      <c r="A4" s="535"/>
      <c r="B4" s="538"/>
      <c r="C4" s="496" t="s">
        <v>71</v>
      </c>
      <c r="D4" s="499"/>
      <c r="E4" s="497"/>
      <c r="F4" s="498" t="s">
        <v>73</v>
      </c>
      <c r="G4" s="497"/>
      <c r="H4" s="120" t="s">
        <v>72</v>
      </c>
      <c r="I4" s="496" t="s">
        <v>71</v>
      </c>
      <c r="J4" s="497"/>
      <c r="K4" s="163" t="s">
        <v>70</v>
      </c>
      <c r="L4" s="498" t="s">
        <v>73</v>
      </c>
      <c r="M4" s="499"/>
      <c r="N4" s="185" t="s">
        <v>105</v>
      </c>
      <c r="O4" s="496" t="s">
        <v>71</v>
      </c>
      <c r="P4" s="497"/>
      <c r="Q4" s="182" t="s">
        <v>70</v>
      </c>
      <c r="R4" s="520" t="s">
        <v>73</v>
      </c>
      <c r="S4" s="521"/>
      <c r="T4" s="183" t="s">
        <v>151</v>
      </c>
      <c r="U4" s="50" t="s">
        <v>13</v>
      </c>
      <c r="V4" s="45" t="s">
        <v>47</v>
      </c>
      <c r="W4" s="50" t="s">
        <v>24</v>
      </c>
      <c r="X4" s="84" t="s">
        <v>265</v>
      </c>
      <c r="Y4" s="50" t="s">
        <v>25</v>
      </c>
      <c r="Z4" s="84" t="s">
        <v>320</v>
      </c>
      <c r="AA4" s="45" t="s">
        <v>153</v>
      </c>
      <c r="AB4" s="84" t="s">
        <v>25</v>
      </c>
      <c r="AC4" s="146" t="s">
        <v>26</v>
      </c>
      <c r="AD4" s="84" t="s">
        <v>25</v>
      </c>
      <c r="AE4" s="146" t="s">
        <v>51</v>
      </c>
      <c r="AF4" s="96" t="s">
        <v>138</v>
      </c>
      <c r="AG4" s="87" t="s">
        <v>25</v>
      </c>
      <c r="AH4" s="358" t="s">
        <v>309</v>
      </c>
      <c r="AI4" s="146" t="s">
        <v>271</v>
      </c>
      <c r="AJ4" s="84" t="s">
        <v>16</v>
      </c>
      <c r="AK4" s="146" t="s">
        <v>50</v>
      </c>
      <c r="AL4" s="50" t="s">
        <v>57</v>
      </c>
      <c r="AM4" s="5" t="s">
        <v>26</v>
      </c>
      <c r="AN4" s="5" t="s">
        <v>54</v>
      </c>
      <c r="AO4" s="5" t="s">
        <v>60</v>
      </c>
      <c r="AP4" s="5" t="s">
        <v>26</v>
      </c>
      <c r="AQ4" s="85" t="s">
        <v>268</v>
      </c>
      <c r="AR4" s="148" t="s">
        <v>271</v>
      </c>
      <c r="AS4" s="122" t="s">
        <v>272</v>
      </c>
      <c r="AT4" s="122" t="s">
        <v>275</v>
      </c>
      <c r="AU4" s="122" t="s">
        <v>309</v>
      </c>
      <c r="AV4" s="96" t="s">
        <v>65</v>
      </c>
      <c r="AW4" s="148" t="s">
        <v>26</v>
      </c>
      <c r="AX4" s="87" t="s">
        <v>26</v>
      </c>
      <c r="AY4" s="87" t="s">
        <v>291</v>
      </c>
      <c r="AZ4" s="87" t="s">
        <v>294</v>
      </c>
      <c r="BA4" s="87" t="s">
        <v>297</v>
      </c>
      <c r="BB4" s="90" t="s">
        <v>299</v>
      </c>
      <c r="BC4" s="127" t="s">
        <v>25</v>
      </c>
      <c r="BD4" s="135" t="s">
        <v>157</v>
      </c>
      <c r="BE4" s="134" t="s">
        <v>213</v>
      </c>
      <c r="BF4" s="125" t="s">
        <v>306</v>
      </c>
      <c r="BG4" s="544"/>
      <c r="BH4" s="545"/>
    </row>
    <row r="5" spans="1:60" ht="15" customHeight="1" x14ac:dyDescent="0.3">
      <c r="A5" s="535"/>
      <c r="B5" s="538"/>
      <c r="C5" s="74"/>
      <c r="D5" s="164"/>
      <c r="E5" s="348"/>
      <c r="F5" s="164"/>
      <c r="G5" s="164"/>
      <c r="H5" s="106"/>
      <c r="I5" s="7"/>
      <c r="J5" s="121"/>
      <c r="K5" s="8"/>
      <c r="L5" s="105"/>
      <c r="M5" s="7"/>
      <c r="N5" s="119"/>
      <c r="O5" s="69"/>
      <c r="P5" s="7"/>
      <c r="Q5" s="138"/>
      <c r="R5" s="532"/>
      <c r="S5" s="533"/>
      <c r="T5" s="181"/>
      <c r="U5" s="131" t="s">
        <v>38</v>
      </c>
      <c r="V5" s="46" t="s">
        <v>48</v>
      </c>
      <c r="W5" s="131" t="s">
        <v>30</v>
      </c>
      <c r="X5" s="132" t="s">
        <v>266</v>
      </c>
      <c r="Y5" s="131" t="s">
        <v>31</v>
      </c>
      <c r="Z5" s="184" t="s">
        <v>32</v>
      </c>
      <c r="AA5" s="46" t="s">
        <v>154</v>
      </c>
      <c r="AB5" s="132" t="s">
        <v>140</v>
      </c>
      <c r="AC5" s="147" t="s">
        <v>156</v>
      </c>
      <c r="AD5" s="132" t="s">
        <v>97</v>
      </c>
      <c r="AE5" s="147" t="s">
        <v>52</v>
      </c>
      <c r="AF5" s="97" t="s">
        <v>52</v>
      </c>
      <c r="AG5" s="88" t="s">
        <v>134</v>
      </c>
      <c r="AH5" s="124" t="s">
        <v>310</v>
      </c>
      <c r="AI5" s="147" t="s">
        <v>304</v>
      </c>
      <c r="AJ5" s="132" t="s">
        <v>15</v>
      </c>
      <c r="AK5" s="147" t="s">
        <v>55</v>
      </c>
      <c r="AL5" s="170" t="s">
        <v>40</v>
      </c>
      <c r="AM5" s="9" t="s">
        <v>59</v>
      </c>
      <c r="AN5" s="9" t="s">
        <v>55</v>
      </c>
      <c r="AO5" s="9" t="s">
        <v>32</v>
      </c>
      <c r="AP5" s="9" t="s">
        <v>66</v>
      </c>
      <c r="AQ5" s="86" t="s">
        <v>269</v>
      </c>
      <c r="AR5" s="136" t="s">
        <v>52</v>
      </c>
      <c r="AS5" s="123" t="s">
        <v>273</v>
      </c>
      <c r="AT5" s="123" t="s">
        <v>276</v>
      </c>
      <c r="AU5" s="123" t="s">
        <v>308</v>
      </c>
      <c r="AV5" s="97" t="s">
        <v>63</v>
      </c>
      <c r="AW5" s="136" t="s">
        <v>138</v>
      </c>
      <c r="AX5" s="88" t="s">
        <v>219</v>
      </c>
      <c r="AY5" s="88" t="s">
        <v>292</v>
      </c>
      <c r="AZ5" s="88" t="s">
        <v>295</v>
      </c>
      <c r="BA5" s="88" t="s">
        <v>268</v>
      </c>
      <c r="BB5" s="91" t="s">
        <v>300</v>
      </c>
      <c r="BC5" s="97" t="s">
        <v>106</v>
      </c>
      <c r="BD5" s="136" t="s">
        <v>158</v>
      </c>
      <c r="BE5" s="88" t="s">
        <v>214</v>
      </c>
      <c r="BF5" s="124" t="s">
        <v>307</v>
      </c>
      <c r="BG5" s="544"/>
      <c r="BH5" s="545"/>
    </row>
    <row r="6" spans="1:60" ht="15" customHeight="1" thickBot="1" x14ac:dyDescent="0.35">
      <c r="A6" s="536"/>
      <c r="B6" s="539"/>
      <c r="C6" s="75" t="s">
        <v>33</v>
      </c>
      <c r="D6" s="43" t="s">
        <v>18</v>
      </c>
      <c r="E6" s="43" t="s">
        <v>19</v>
      </c>
      <c r="F6" s="43" t="s">
        <v>69</v>
      </c>
      <c r="G6" s="43">
        <v>15</v>
      </c>
      <c r="H6" s="76">
        <v>16</v>
      </c>
      <c r="I6" s="151" t="s">
        <v>34</v>
      </c>
      <c r="J6" s="152" t="s">
        <v>35</v>
      </c>
      <c r="K6" s="152" t="s">
        <v>20</v>
      </c>
      <c r="L6" s="152" t="s">
        <v>102</v>
      </c>
      <c r="M6" s="153" t="s">
        <v>103</v>
      </c>
      <c r="N6" s="153" t="s">
        <v>104</v>
      </c>
      <c r="O6" s="154" t="s">
        <v>36</v>
      </c>
      <c r="P6" s="152" t="s">
        <v>37</v>
      </c>
      <c r="Q6" s="155" t="s">
        <v>21</v>
      </c>
      <c r="R6" s="43" t="s">
        <v>22</v>
      </c>
      <c r="S6" s="152" t="s">
        <v>23</v>
      </c>
      <c r="T6" s="171" t="s">
        <v>150</v>
      </c>
      <c r="U6" s="156" t="s">
        <v>14</v>
      </c>
      <c r="V6" s="157" t="s">
        <v>49</v>
      </c>
      <c r="W6" s="156" t="s">
        <v>38</v>
      </c>
      <c r="X6" s="158" t="s">
        <v>267</v>
      </c>
      <c r="Y6" s="156" t="s">
        <v>39</v>
      </c>
      <c r="Z6" s="158" t="s">
        <v>154</v>
      </c>
      <c r="AA6" s="157" t="s">
        <v>155</v>
      </c>
      <c r="AB6" s="158" t="s">
        <v>137</v>
      </c>
      <c r="AC6" s="159" t="s">
        <v>48</v>
      </c>
      <c r="AD6" s="158" t="s">
        <v>98</v>
      </c>
      <c r="AE6" s="159" t="s">
        <v>53</v>
      </c>
      <c r="AF6" s="128" t="s">
        <v>152</v>
      </c>
      <c r="AG6" s="94" t="s">
        <v>48</v>
      </c>
      <c r="AH6" s="126" t="s">
        <v>311</v>
      </c>
      <c r="AI6" s="159" t="s">
        <v>305</v>
      </c>
      <c r="AJ6" s="158" t="s">
        <v>17</v>
      </c>
      <c r="AK6" s="159" t="s">
        <v>141</v>
      </c>
      <c r="AL6" s="156" t="s">
        <v>58</v>
      </c>
      <c r="AM6" s="160" t="s">
        <v>42</v>
      </c>
      <c r="AN6" s="160" t="s">
        <v>56</v>
      </c>
      <c r="AO6" s="160" t="s">
        <v>61</v>
      </c>
      <c r="AP6" s="160" t="s">
        <v>41</v>
      </c>
      <c r="AQ6" s="161" t="s">
        <v>270</v>
      </c>
      <c r="AR6" s="137" t="s">
        <v>62</v>
      </c>
      <c r="AS6" s="149" t="s">
        <v>274</v>
      </c>
      <c r="AT6" s="149" t="s">
        <v>277</v>
      </c>
      <c r="AU6" s="149" t="s">
        <v>315</v>
      </c>
      <c r="AV6" s="128" t="s">
        <v>39</v>
      </c>
      <c r="AW6" s="137" t="s">
        <v>139</v>
      </c>
      <c r="AX6" s="94" t="s">
        <v>220</v>
      </c>
      <c r="AY6" s="94" t="s">
        <v>293</v>
      </c>
      <c r="AZ6" s="94" t="s">
        <v>296</v>
      </c>
      <c r="BA6" s="94" t="s">
        <v>298</v>
      </c>
      <c r="BB6" s="162" t="s">
        <v>301</v>
      </c>
      <c r="BC6" s="128" t="s">
        <v>136</v>
      </c>
      <c r="BD6" s="137" t="s">
        <v>159</v>
      </c>
      <c r="BE6" s="94" t="s">
        <v>215</v>
      </c>
      <c r="BF6" s="126" t="s">
        <v>308</v>
      </c>
      <c r="BG6" s="544"/>
      <c r="BH6" s="545"/>
    </row>
    <row r="7" spans="1:60" ht="24.95" customHeight="1" thickTop="1" x14ac:dyDescent="0.3">
      <c r="A7" s="530" t="s">
        <v>46</v>
      </c>
      <c r="B7" s="150">
        <v>1</v>
      </c>
      <c r="C7" s="522" t="s">
        <v>218</v>
      </c>
      <c r="D7" s="523"/>
      <c r="E7" s="523"/>
      <c r="F7" s="523"/>
      <c r="G7" s="523"/>
      <c r="H7" s="524"/>
      <c r="I7" s="522" t="s">
        <v>218</v>
      </c>
      <c r="J7" s="523"/>
      <c r="K7" s="523"/>
      <c r="L7" s="523"/>
      <c r="M7" s="523"/>
      <c r="N7" s="524"/>
      <c r="O7" s="522" t="s">
        <v>218</v>
      </c>
      <c r="P7" s="523"/>
      <c r="Q7" s="523"/>
      <c r="R7" s="523"/>
      <c r="S7" s="523"/>
      <c r="T7" s="524"/>
      <c r="U7" s="187"/>
      <c r="V7" s="188"/>
      <c r="W7" s="187"/>
      <c r="X7" s="189"/>
      <c r="Y7" s="187"/>
      <c r="Z7" s="264"/>
      <c r="AA7" s="190"/>
      <c r="AB7" s="191"/>
      <c r="AC7" s="192"/>
      <c r="AD7" s="189"/>
      <c r="AE7" s="192"/>
      <c r="AF7" s="193"/>
      <c r="AG7" s="360"/>
      <c r="AH7" s="367"/>
      <c r="AI7" s="373"/>
      <c r="AJ7" s="189"/>
      <c r="AK7" s="192"/>
      <c r="AL7" s="296"/>
      <c r="AM7" s="195"/>
      <c r="AN7" s="194"/>
      <c r="AO7" s="198"/>
      <c r="AP7" s="199"/>
      <c r="AQ7" s="286"/>
      <c r="AR7" s="316"/>
      <c r="AS7" s="378"/>
      <c r="AT7" s="197"/>
      <c r="AU7" s="386"/>
      <c r="AV7" s="400"/>
      <c r="AW7" s="441"/>
      <c r="AX7" s="401"/>
      <c r="AY7" s="446"/>
      <c r="AZ7" s="401"/>
      <c r="BA7" s="446"/>
      <c r="BB7" s="402"/>
      <c r="BC7" s="458"/>
      <c r="BD7" s="403"/>
      <c r="BE7" s="467"/>
      <c r="BF7" s="404"/>
      <c r="BG7" s="1">
        <f t="shared" ref="BG7:BG39" si="0">COUNTA(U7:BF7)</f>
        <v>0</v>
      </c>
      <c r="BH7" s="1">
        <f t="shared" ref="BH7:BH39" si="1">SUM(U7:BF7)</f>
        <v>0</v>
      </c>
    </row>
    <row r="8" spans="1:60" ht="24.95" customHeight="1" x14ac:dyDescent="0.3">
      <c r="A8" s="530"/>
      <c r="B8" s="38">
        <v>2</v>
      </c>
      <c r="C8" s="41" t="s">
        <v>429</v>
      </c>
      <c r="D8" s="80" t="s">
        <v>433</v>
      </c>
      <c r="E8" s="80" t="s">
        <v>435</v>
      </c>
      <c r="F8" s="81" t="s">
        <v>432</v>
      </c>
      <c r="G8" s="95" t="s">
        <v>431</v>
      </c>
      <c r="H8" s="40" t="s">
        <v>431</v>
      </c>
      <c r="I8" s="13" t="s">
        <v>278</v>
      </c>
      <c r="J8" s="11" t="s">
        <v>421</v>
      </c>
      <c r="K8" s="11" t="s">
        <v>313</v>
      </c>
      <c r="L8" s="11" t="s">
        <v>221</v>
      </c>
      <c r="M8" s="12" t="s">
        <v>279</v>
      </c>
      <c r="N8" s="12" t="s">
        <v>430</v>
      </c>
      <c r="O8" s="54" t="s">
        <v>278</v>
      </c>
      <c r="P8" s="11" t="s">
        <v>280</v>
      </c>
      <c r="Q8" s="11" t="s">
        <v>278</v>
      </c>
      <c r="R8" s="11" t="s">
        <v>290</v>
      </c>
      <c r="S8" s="11" t="s">
        <v>290</v>
      </c>
      <c r="T8" s="173" t="s">
        <v>318</v>
      </c>
      <c r="U8" s="200">
        <v>16</v>
      </c>
      <c r="V8" s="201">
        <v>15</v>
      </c>
      <c r="W8" s="200"/>
      <c r="X8" s="202">
        <v>14</v>
      </c>
      <c r="Y8" s="200">
        <v>12</v>
      </c>
      <c r="Z8" s="243"/>
      <c r="AA8" s="203"/>
      <c r="AB8" s="204">
        <v>13</v>
      </c>
      <c r="AC8" s="205"/>
      <c r="AD8" s="202"/>
      <c r="AE8" s="205">
        <v>11</v>
      </c>
      <c r="AF8" s="206">
        <v>23</v>
      </c>
      <c r="AG8" s="361"/>
      <c r="AH8" s="368">
        <v>26</v>
      </c>
      <c r="AI8" s="374">
        <v>24</v>
      </c>
      <c r="AJ8" s="202"/>
      <c r="AK8" s="205"/>
      <c r="AL8" s="297"/>
      <c r="AM8" s="208">
        <v>31</v>
      </c>
      <c r="AN8" s="207"/>
      <c r="AO8" s="283">
        <v>32</v>
      </c>
      <c r="AP8" s="308"/>
      <c r="AQ8" s="208">
        <v>33</v>
      </c>
      <c r="AR8" s="317">
        <v>21</v>
      </c>
      <c r="AS8" s="379"/>
      <c r="AT8" s="211"/>
      <c r="AU8" s="387">
        <v>22</v>
      </c>
      <c r="AV8" s="405">
        <v>35</v>
      </c>
      <c r="AW8" s="442">
        <v>34</v>
      </c>
      <c r="AX8" s="406"/>
      <c r="AY8" s="447">
        <v>25</v>
      </c>
      <c r="AZ8" s="406"/>
      <c r="BA8" s="447"/>
      <c r="BB8" s="407"/>
      <c r="BC8" s="459"/>
      <c r="BD8" s="408">
        <v>36</v>
      </c>
      <c r="BE8" s="468"/>
      <c r="BF8" s="409"/>
      <c r="BG8" s="1">
        <f t="shared" si="0"/>
        <v>18</v>
      </c>
      <c r="BH8" s="1">
        <f t="shared" si="1"/>
        <v>423</v>
      </c>
    </row>
    <row r="9" spans="1:60" ht="24.95" customHeight="1" x14ac:dyDescent="0.3">
      <c r="A9" s="530"/>
      <c r="B9" s="38">
        <v>3</v>
      </c>
      <c r="C9" s="41" t="s">
        <v>430</v>
      </c>
      <c r="D9" s="11" t="s">
        <v>429</v>
      </c>
      <c r="E9" s="11" t="s">
        <v>431</v>
      </c>
      <c r="F9" s="11" t="s">
        <v>282</v>
      </c>
      <c r="G9" s="12" t="s">
        <v>435</v>
      </c>
      <c r="H9" s="42" t="s">
        <v>432</v>
      </c>
      <c r="I9" s="13" t="s">
        <v>278</v>
      </c>
      <c r="J9" s="11" t="s">
        <v>421</v>
      </c>
      <c r="K9" s="11" t="s">
        <v>281</v>
      </c>
      <c r="L9" s="11" t="s">
        <v>279</v>
      </c>
      <c r="M9" s="12" t="s">
        <v>221</v>
      </c>
      <c r="N9" s="12" t="s">
        <v>430</v>
      </c>
      <c r="O9" s="54" t="s">
        <v>278</v>
      </c>
      <c r="P9" s="11" t="s">
        <v>280</v>
      </c>
      <c r="Q9" s="11" t="s">
        <v>278</v>
      </c>
      <c r="R9" s="11" t="s">
        <v>290</v>
      </c>
      <c r="S9" s="11" t="s">
        <v>290</v>
      </c>
      <c r="T9" s="173" t="s">
        <v>318</v>
      </c>
      <c r="U9" s="200"/>
      <c r="V9" s="201">
        <v>13</v>
      </c>
      <c r="W9" s="200">
        <v>16</v>
      </c>
      <c r="X9" s="202"/>
      <c r="Y9" s="200"/>
      <c r="Z9" s="243"/>
      <c r="AA9" s="203"/>
      <c r="AB9" s="204">
        <v>15</v>
      </c>
      <c r="AC9" s="205"/>
      <c r="AD9" s="202"/>
      <c r="AE9" s="205">
        <v>12</v>
      </c>
      <c r="AF9" s="206"/>
      <c r="AG9" s="361">
        <v>11</v>
      </c>
      <c r="AH9" s="368">
        <v>26</v>
      </c>
      <c r="AI9" s="374">
        <v>25</v>
      </c>
      <c r="AJ9" s="202"/>
      <c r="AK9" s="205"/>
      <c r="AL9" s="297"/>
      <c r="AM9" s="208">
        <v>31</v>
      </c>
      <c r="AN9" s="207">
        <v>23</v>
      </c>
      <c r="AO9" s="287">
        <v>32</v>
      </c>
      <c r="AP9" s="308"/>
      <c r="AQ9" s="208">
        <v>33</v>
      </c>
      <c r="AR9" s="317">
        <v>21</v>
      </c>
      <c r="AS9" s="379"/>
      <c r="AT9" s="209"/>
      <c r="AU9" s="388">
        <v>22</v>
      </c>
      <c r="AV9" s="405">
        <v>35</v>
      </c>
      <c r="AW9" s="442">
        <v>34</v>
      </c>
      <c r="AX9" s="406"/>
      <c r="AY9" s="213"/>
      <c r="AZ9" s="410">
        <v>24</v>
      </c>
      <c r="BA9" s="447"/>
      <c r="BB9" s="407">
        <v>14</v>
      </c>
      <c r="BC9" s="460"/>
      <c r="BD9" s="411">
        <v>36</v>
      </c>
      <c r="BE9" s="469"/>
      <c r="BF9" s="409"/>
      <c r="BG9" s="1">
        <f t="shared" si="0"/>
        <v>18</v>
      </c>
      <c r="BH9" s="1">
        <f t="shared" si="1"/>
        <v>423</v>
      </c>
    </row>
    <row r="10" spans="1:60" s="2" customFormat="1" ht="24.95" customHeight="1" x14ac:dyDescent="0.3">
      <c r="A10" s="530"/>
      <c r="B10" s="38">
        <v>4</v>
      </c>
      <c r="C10" s="41" t="s">
        <v>282</v>
      </c>
      <c r="D10" s="11" t="s">
        <v>432</v>
      </c>
      <c r="E10" s="11" t="s">
        <v>433</v>
      </c>
      <c r="F10" s="11" t="s">
        <v>282</v>
      </c>
      <c r="G10" s="12" t="s">
        <v>160</v>
      </c>
      <c r="H10" s="42" t="s">
        <v>285</v>
      </c>
      <c r="I10" s="13" t="s">
        <v>278</v>
      </c>
      <c r="J10" s="11" t="s">
        <v>280</v>
      </c>
      <c r="K10" s="11" t="s">
        <v>281</v>
      </c>
      <c r="L10" s="11" t="s">
        <v>279</v>
      </c>
      <c r="M10" s="12" t="s">
        <v>424</v>
      </c>
      <c r="N10" s="12" t="s">
        <v>426</v>
      </c>
      <c r="O10" s="54" t="s">
        <v>278</v>
      </c>
      <c r="P10" s="11" t="s">
        <v>280</v>
      </c>
      <c r="Q10" s="11" t="s">
        <v>278</v>
      </c>
      <c r="R10" s="11" t="s">
        <v>290</v>
      </c>
      <c r="S10" s="11" t="s">
        <v>290</v>
      </c>
      <c r="T10" s="486" t="s">
        <v>318</v>
      </c>
      <c r="U10" s="200"/>
      <c r="V10" s="201"/>
      <c r="W10" s="200"/>
      <c r="X10" s="202">
        <v>12</v>
      </c>
      <c r="Y10" s="275">
        <v>13</v>
      </c>
      <c r="Z10" s="243"/>
      <c r="AA10" s="203"/>
      <c r="AB10" s="204"/>
      <c r="AC10" s="205">
        <v>15</v>
      </c>
      <c r="AD10" s="202"/>
      <c r="AE10" s="205"/>
      <c r="AF10" s="206">
        <v>25</v>
      </c>
      <c r="AG10" s="361"/>
      <c r="AH10" s="368"/>
      <c r="AI10" s="374"/>
      <c r="AJ10" s="202"/>
      <c r="AK10" s="205">
        <v>26</v>
      </c>
      <c r="AL10" s="298"/>
      <c r="AM10" s="208">
        <v>31</v>
      </c>
      <c r="AN10" s="207">
        <v>23</v>
      </c>
      <c r="AO10" s="288">
        <v>32</v>
      </c>
      <c r="AP10" s="215"/>
      <c r="AQ10" s="208">
        <v>33</v>
      </c>
      <c r="AR10" s="317">
        <v>21</v>
      </c>
      <c r="AS10" s="379">
        <v>22</v>
      </c>
      <c r="AT10" s="209">
        <v>11</v>
      </c>
      <c r="AU10" s="388"/>
      <c r="AV10" s="405">
        <v>35</v>
      </c>
      <c r="AW10" s="442">
        <v>34</v>
      </c>
      <c r="AX10" s="406"/>
      <c r="AY10" s="447"/>
      <c r="AZ10" s="410">
        <v>24</v>
      </c>
      <c r="BA10" s="447"/>
      <c r="BB10" s="407">
        <v>14</v>
      </c>
      <c r="BC10" s="460">
        <v>16</v>
      </c>
      <c r="BD10" s="411"/>
      <c r="BE10" s="469">
        <v>36</v>
      </c>
      <c r="BF10" s="412"/>
      <c r="BG10" s="1">
        <f t="shared" si="0"/>
        <v>18</v>
      </c>
      <c r="BH10" s="1">
        <f t="shared" si="1"/>
        <v>423</v>
      </c>
    </row>
    <row r="11" spans="1:60" ht="24.95" customHeight="1" x14ac:dyDescent="0.3">
      <c r="A11" s="530"/>
      <c r="B11" s="38">
        <v>5</v>
      </c>
      <c r="C11" s="41" t="s">
        <v>432</v>
      </c>
      <c r="D11" s="11" t="s">
        <v>282</v>
      </c>
      <c r="E11" s="11" t="s">
        <v>429</v>
      </c>
      <c r="F11" s="11" t="s">
        <v>427</v>
      </c>
      <c r="G11" s="11" t="s">
        <v>282</v>
      </c>
      <c r="H11" s="42" t="s">
        <v>285</v>
      </c>
      <c r="I11" s="11" t="s">
        <v>420</v>
      </c>
      <c r="J11" s="11" t="s">
        <v>280</v>
      </c>
      <c r="K11" s="11" t="s">
        <v>422</v>
      </c>
      <c r="L11" s="11" t="s">
        <v>279</v>
      </c>
      <c r="M11" s="11" t="s">
        <v>279</v>
      </c>
      <c r="N11" s="11" t="s">
        <v>426</v>
      </c>
      <c r="O11" s="54" t="s">
        <v>285</v>
      </c>
      <c r="P11" s="11" t="s">
        <v>284</v>
      </c>
      <c r="Q11" s="11" t="s">
        <v>280</v>
      </c>
      <c r="R11" s="11" t="s">
        <v>280</v>
      </c>
      <c r="S11" s="82" t="s">
        <v>314</v>
      </c>
      <c r="T11" s="486" t="s">
        <v>318</v>
      </c>
      <c r="U11" s="280">
        <v>23</v>
      </c>
      <c r="V11" s="292"/>
      <c r="W11" s="280">
        <v>21</v>
      </c>
      <c r="X11" s="293">
        <v>11</v>
      </c>
      <c r="Y11" s="276">
        <v>14</v>
      </c>
      <c r="Z11" s="294"/>
      <c r="AA11" s="281"/>
      <c r="AB11" s="293"/>
      <c r="AC11" s="282"/>
      <c r="AD11" s="293"/>
      <c r="AE11" s="282">
        <v>13</v>
      </c>
      <c r="AF11" s="295"/>
      <c r="AG11" s="362"/>
      <c r="AH11" s="369">
        <v>35</v>
      </c>
      <c r="AI11" s="375"/>
      <c r="AJ11" s="293"/>
      <c r="AK11" s="282">
        <v>26</v>
      </c>
      <c r="AL11" s="299">
        <v>33</v>
      </c>
      <c r="AM11" s="208"/>
      <c r="AN11" s="304"/>
      <c r="AO11" s="287"/>
      <c r="AP11" s="309"/>
      <c r="AQ11" s="283"/>
      <c r="AR11" s="317"/>
      <c r="AS11" s="379">
        <v>22</v>
      </c>
      <c r="AT11" s="211">
        <v>12</v>
      </c>
      <c r="AU11" s="387"/>
      <c r="AV11" s="405"/>
      <c r="AW11" s="442"/>
      <c r="AX11" s="406">
        <v>32</v>
      </c>
      <c r="AY11" s="447">
        <v>24</v>
      </c>
      <c r="AZ11" s="410">
        <v>25</v>
      </c>
      <c r="BA11" s="447">
        <v>34</v>
      </c>
      <c r="BB11" s="407">
        <v>15</v>
      </c>
      <c r="BC11" s="459">
        <v>16</v>
      </c>
      <c r="BD11" s="408"/>
      <c r="BE11" s="468">
        <v>36</v>
      </c>
      <c r="BF11" s="409">
        <v>31</v>
      </c>
      <c r="BG11" s="1">
        <f t="shared" si="0"/>
        <v>18</v>
      </c>
      <c r="BH11" s="1">
        <f t="shared" si="1"/>
        <v>423</v>
      </c>
    </row>
    <row r="12" spans="1:60" ht="24.95" customHeight="1" thickBot="1" x14ac:dyDescent="0.35">
      <c r="A12" s="531"/>
      <c r="B12" s="39">
        <v>6</v>
      </c>
      <c r="C12" s="58" t="s">
        <v>434</v>
      </c>
      <c r="D12" s="59" t="s">
        <v>435</v>
      </c>
      <c r="E12" s="59" t="s">
        <v>282</v>
      </c>
      <c r="F12" s="59" t="s">
        <v>434</v>
      </c>
      <c r="G12" s="98" t="s">
        <v>282</v>
      </c>
      <c r="H12" s="60" t="s">
        <v>427</v>
      </c>
      <c r="I12" s="28" t="s">
        <v>422</v>
      </c>
      <c r="J12" s="26" t="s">
        <v>280</v>
      </c>
      <c r="K12" s="26" t="s">
        <v>420</v>
      </c>
      <c r="L12" s="26" t="s">
        <v>279</v>
      </c>
      <c r="M12" s="27" t="s">
        <v>279</v>
      </c>
      <c r="N12" s="27" t="s">
        <v>221</v>
      </c>
      <c r="O12" s="52" t="s">
        <v>285</v>
      </c>
      <c r="P12" s="26" t="s">
        <v>284</v>
      </c>
      <c r="Q12" s="11" t="s">
        <v>280</v>
      </c>
      <c r="R12" s="35" t="s">
        <v>280</v>
      </c>
      <c r="S12" s="178" t="s">
        <v>280</v>
      </c>
      <c r="T12" s="174" t="s">
        <v>314</v>
      </c>
      <c r="U12" s="216">
        <v>21</v>
      </c>
      <c r="V12" s="273"/>
      <c r="W12" s="216">
        <v>23</v>
      </c>
      <c r="X12" s="217"/>
      <c r="Y12" s="277"/>
      <c r="Z12" s="265"/>
      <c r="AA12" s="219">
        <v>16</v>
      </c>
      <c r="AB12" s="220">
        <v>12</v>
      </c>
      <c r="AC12" s="221">
        <v>14</v>
      </c>
      <c r="AD12" s="217">
        <v>11</v>
      </c>
      <c r="AE12" s="221"/>
      <c r="AF12" s="218"/>
      <c r="AG12" s="363"/>
      <c r="AH12" s="370">
        <v>36</v>
      </c>
      <c r="AI12" s="376">
        <v>26</v>
      </c>
      <c r="AJ12" s="217"/>
      <c r="AK12" s="221"/>
      <c r="AL12" s="300">
        <v>33</v>
      </c>
      <c r="AM12" s="247"/>
      <c r="AN12" s="225"/>
      <c r="AO12" s="289"/>
      <c r="AP12" s="310"/>
      <c r="AQ12" s="289"/>
      <c r="AR12" s="312"/>
      <c r="AS12" s="380">
        <v>22</v>
      </c>
      <c r="AT12" s="224">
        <v>13</v>
      </c>
      <c r="AU12" s="389"/>
      <c r="AV12" s="413">
        <v>35</v>
      </c>
      <c r="AW12" s="443"/>
      <c r="AX12" s="414">
        <v>32</v>
      </c>
      <c r="AY12" s="448">
        <v>24</v>
      </c>
      <c r="AZ12" s="415">
        <v>25</v>
      </c>
      <c r="BA12" s="448">
        <v>34</v>
      </c>
      <c r="BB12" s="416">
        <v>15</v>
      </c>
      <c r="BC12" s="461"/>
      <c r="BD12" s="417"/>
      <c r="BE12" s="470"/>
      <c r="BF12" s="418">
        <v>31</v>
      </c>
      <c r="BG12" s="1">
        <f t="shared" si="0"/>
        <v>18</v>
      </c>
      <c r="BH12" s="1">
        <f t="shared" si="1"/>
        <v>423</v>
      </c>
    </row>
    <row r="13" spans="1:60" ht="24.95" customHeight="1" x14ac:dyDescent="0.3">
      <c r="A13" s="540" t="s">
        <v>43</v>
      </c>
      <c r="B13" s="56">
        <v>1</v>
      </c>
      <c r="C13" s="61" t="s">
        <v>433</v>
      </c>
      <c r="D13" s="62" t="s">
        <v>160</v>
      </c>
      <c r="E13" s="62" t="s">
        <v>437</v>
      </c>
      <c r="F13" s="62" t="s">
        <v>431</v>
      </c>
      <c r="G13" s="62" t="s">
        <v>432</v>
      </c>
      <c r="H13" s="63" t="s">
        <v>435</v>
      </c>
      <c r="I13" s="25" t="s">
        <v>421</v>
      </c>
      <c r="J13" s="19" t="s">
        <v>420</v>
      </c>
      <c r="K13" s="19" t="s">
        <v>313</v>
      </c>
      <c r="L13" s="19" t="s">
        <v>279</v>
      </c>
      <c r="M13" s="21" t="s">
        <v>427</v>
      </c>
      <c r="N13" s="21" t="s">
        <v>68</v>
      </c>
      <c r="O13" s="70" t="s">
        <v>278</v>
      </c>
      <c r="P13" s="19" t="s">
        <v>280</v>
      </c>
      <c r="Q13" s="351" t="s">
        <v>278</v>
      </c>
      <c r="R13" s="19" t="s">
        <v>290</v>
      </c>
      <c r="S13" s="83" t="s">
        <v>290</v>
      </c>
      <c r="T13" s="172" t="s">
        <v>316</v>
      </c>
      <c r="U13" s="187"/>
      <c r="V13" s="228">
        <v>14</v>
      </c>
      <c r="W13" s="187">
        <v>22</v>
      </c>
      <c r="X13" s="189">
        <v>15</v>
      </c>
      <c r="Y13" s="278">
        <v>11</v>
      </c>
      <c r="Z13" s="266"/>
      <c r="AA13" s="190">
        <v>25</v>
      </c>
      <c r="AB13" s="191">
        <v>16</v>
      </c>
      <c r="AC13" s="192">
        <v>12</v>
      </c>
      <c r="AD13" s="189">
        <v>26</v>
      </c>
      <c r="AE13" s="192"/>
      <c r="AF13" s="193">
        <v>23</v>
      </c>
      <c r="AG13" s="360"/>
      <c r="AH13" s="367"/>
      <c r="AI13" s="373">
        <v>13</v>
      </c>
      <c r="AJ13" s="189"/>
      <c r="AK13" s="192"/>
      <c r="AL13" s="299"/>
      <c r="AM13" s="208">
        <v>31</v>
      </c>
      <c r="AN13" s="194"/>
      <c r="AO13" s="284">
        <v>32</v>
      </c>
      <c r="AP13" s="311"/>
      <c r="AQ13" s="284">
        <v>33</v>
      </c>
      <c r="AR13" s="318"/>
      <c r="AS13" s="381"/>
      <c r="AT13" s="230"/>
      <c r="AU13" s="390">
        <v>21</v>
      </c>
      <c r="AV13" s="400">
        <v>35</v>
      </c>
      <c r="AW13" s="441">
        <v>34</v>
      </c>
      <c r="AX13" s="419"/>
      <c r="AY13" s="449">
        <v>24</v>
      </c>
      <c r="AZ13" s="419"/>
      <c r="BA13" s="449"/>
      <c r="BB13" s="402"/>
      <c r="BC13" s="462"/>
      <c r="BD13" s="420"/>
      <c r="BE13" s="471"/>
      <c r="BF13" s="421">
        <v>36</v>
      </c>
      <c r="BG13" s="1">
        <f t="shared" si="0"/>
        <v>18</v>
      </c>
      <c r="BH13" s="1">
        <f t="shared" si="1"/>
        <v>423</v>
      </c>
    </row>
    <row r="14" spans="1:60" ht="24.95" customHeight="1" x14ac:dyDescent="0.3">
      <c r="A14" s="540"/>
      <c r="B14" s="20">
        <v>2</v>
      </c>
      <c r="C14" s="64" t="s">
        <v>420</v>
      </c>
      <c r="D14" s="23" t="s">
        <v>431</v>
      </c>
      <c r="E14" s="23" t="s">
        <v>430</v>
      </c>
      <c r="F14" s="23" t="s">
        <v>429</v>
      </c>
      <c r="G14" s="23" t="s">
        <v>435</v>
      </c>
      <c r="H14" s="65" t="s">
        <v>221</v>
      </c>
      <c r="I14" s="108" t="s">
        <v>421</v>
      </c>
      <c r="J14" s="11" t="s">
        <v>279</v>
      </c>
      <c r="K14" s="11" t="s">
        <v>281</v>
      </c>
      <c r="L14" s="11" t="s">
        <v>426</v>
      </c>
      <c r="M14" s="12" t="s">
        <v>279</v>
      </c>
      <c r="N14" s="12" t="s">
        <v>427</v>
      </c>
      <c r="O14" s="70" t="s">
        <v>278</v>
      </c>
      <c r="P14" s="21" t="s">
        <v>280</v>
      </c>
      <c r="Q14" s="22" t="s">
        <v>278</v>
      </c>
      <c r="R14" s="13" t="s">
        <v>290</v>
      </c>
      <c r="S14" s="83" t="s">
        <v>290</v>
      </c>
      <c r="T14" s="172" t="s">
        <v>316</v>
      </c>
      <c r="U14" s="200"/>
      <c r="V14" s="201">
        <v>12</v>
      </c>
      <c r="W14" s="200"/>
      <c r="X14" s="202">
        <v>11</v>
      </c>
      <c r="Y14" s="275"/>
      <c r="Z14" s="243"/>
      <c r="AA14" s="203">
        <v>26</v>
      </c>
      <c r="AB14" s="204">
        <v>15</v>
      </c>
      <c r="AC14" s="205"/>
      <c r="AD14" s="202"/>
      <c r="AE14" s="205">
        <v>14</v>
      </c>
      <c r="AF14" s="206"/>
      <c r="AG14" s="364">
        <v>13</v>
      </c>
      <c r="AH14" s="368"/>
      <c r="AI14" s="374">
        <v>16</v>
      </c>
      <c r="AJ14" s="202"/>
      <c r="AK14" s="205">
        <v>24</v>
      </c>
      <c r="AL14" s="301"/>
      <c r="AM14" s="208">
        <v>31</v>
      </c>
      <c r="AN14" s="207">
        <v>23</v>
      </c>
      <c r="AO14" s="283">
        <v>32</v>
      </c>
      <c r="AP14" s="308">
        <v>22</v>
      </c>
      <c r="AQ14" s="283">
        <v>33</v>
      </c>
      <c r="AR14" s="308"/>
      <c r="AS14" s="378"/>
      <c r="AT14" s="231"/>
      <c r="AU14" s="391">
        <v>21</v>
      </c>
      <c r="AV14" s="405">
        <v>35</v>
      </c>
      <c r="AW14" s="361">
        <v>34</v>
      </c>
      <c r="AX14" s="422"/>
      <c r="AY14" s="382"/>
      <c r="AZ14" s="422"/>
      <c r="BA14" s="365"/>
      <c r="BB14" s="423">
        <v>25</v>
      </c>
      <c r="BC14" s="463"/>
      <c r="BD14" s="424"/>
      <c r="BE14" s="472"/>
      <c r="BF14" s="425">
        <v>36</v>
      </c>
      <c r="BG14" s="1">
        <f t="shared" si="0"/>
        <v>18</v>
      </c>
      <c r="BH14" s="1">
        <f t="shared" si="1"/>
        <v>423</v>
      </c>
    </row>
    <row r="15" spans="1:60" ht="24.95" customHeight="1" x14ac:dyDescent="0.3">
      <c r="A15" s="540"/>
      <c r="B15" s="20">
        <v>3</v>
      </c>
      <c r="C15" s="64" t="s">
        <v>160</v>
      </c>
      <c r="D15" s="23" t="s">
        <v>427</v>
      </c>
      <c r="E15" s="23" t="s">
        <v>434</v>
      </c>
      <c r="F15" s="23" t="s">
        <v>303</v>
      </c>
      <c r="G15" s="23" t="s">
        <v>429</v>
      </c>
      <c r="H15" s="65" t="s">
        <v>436</v>
      </c>
      <c r="I15" s="13" t="s">
        <v>313</v>
      </c>
      <c r="J15" s="109" t="s">
        <v>279</v>
      </c>
      <c r="K15" s="11" t="s">
        <v>281</v>
      </c>
      <c r="L15" s="11" t="s">
        <v>426</v>
      </c>
      <c r="M15" s="12" t="s">
        <v>279</v>
      </c>
      <c r="N15" s="483" t="s">
        <v>317</v>
      </c>
      <c r="O15" s="70" t="s">
        <v>278</v>
      </c>
      <c r="P15" s="21" t="s">
        <v>280</v>
      </c>
      <c r="Q15" s="22" t="s">
        <v>278</v>
      </c>
      <c r="R15" s="13" t="s">
        <v>290</v>
      </c>
      <c r="S15" s="82" t="s">
        <v>290</v>
      </c>
      <c r="T15" s="173" t="s">
        <v>284</v>
      </c>
      <c r="U15" s="200"/>
      <c r="V15" s="201"/>
      <c r="W15" s="200"/>
      <c r="X15" s="202"/>
      <c r="Y15" s="275">
        <v>12</v>
      </c>
      <c r="Z15" s="243"/>
      <c r="AA15" s="203"/>
      <c r="AB15" s="204"/>
      <c r="AC15" s="205">
        <v>13</v>
      </c>
      <c r="AD15" s="202">
        <v>11</v>
      </c>
      <c r="AE15" s="205">
        <v>15</v>
      </c>
      <c r="AF15" s="206">
        <v>21</v>
      </c>
      <c r="AG15" s="365"/>
      <c r="AH15" s="371"/>
      <c r="AI15" s="374"/>
      <c r="AJ15" s="202">
        <v>16</v>
      </c>
      <c r="AK15" s="205">
        <v>24</v>
      </c>
      <c r="AL15" s="297"/>
      <c r="AM15" s="208">
        <v>31</v>
      </c>
      <c r="AN15" s="207">
        <v>23</v>
      </c>
      <c r="AO15" s="283">
        <v>32</v>
      </c>
      <c r="AP15" s="308">
        <v>22</v>
      </c>
      <c r="AQ15" s="283">
        <v>33</v>
      </c>
      <c r="AR15" s="319"/>
      <c r="AS15" s="381"/>
      <c r="AT15" s="232"/>
      <c r="AU15" s="392"/>
      <c r="AV15" s="405">
        <v>35</v>
      </c>
      <c r="AW15" s="361">
        <v>34</v>
      </c>
      <c r="AX15" s="422">
        <v>36</v>
      </c>
      <c r="AY15" s="382">
        <v>25</v>
      </c>
      <c r="AZ15" s="422"/>
      <c r="BA15" s="365"/>
      <c r="BB15" s="423">
        <v>14</v>
      </c>
      <c r="BC15" s="463"/>
      <c r="BD15" s="424"/>
      <c r="BE15" s="472">
        <v>26</v>
      </c>
      <c r="BF15" s="426"/>
      <c r="BG15" s="1">
        <f t="shared" si="0"/>
        <v>18</v>
      </c>
      <c r="BH15" s="1">
        <f t="shared" si="1"/>
        <v>423</v>
      </c>
    </row>
    <row r="16" spans="1:60" ht="24.95" customHeight="1" x14ac:dyDescent="0.3">
      <c r="A16" s="540"/>
      <c r="B16" s="20">
        <v>4</v>
      </c>
      <c r="C16" s="64" t="s">
        <v>435</v>
      </c>
      <c r="D16" s="23" t="s">
        <v>430</v>
      </c>
      <c r="E16" s="23" t="s">
        <v>282</v>
      </c>
      <c r="F16" s="23" t="s">
        <v>303</v>
      </c>
      <c r="G16" s="23" t="s">
        <v>427</v>
      </c>
      <c r="H16" s="65" t="s">
        <v>427</v>
      </c>
      <c r="I16" s="13" t="s">
        <v>420</v>
      </c>
      <c r="J16" s="11" t="s">
        <v>279</v>
      </c>
      <c r="K16" s="109" t="s">
        <v>302</v>
      </c>
      <c r="L16" s="11" t="s">
        <v>68</v>
      </c>
      <c r="M16" s="12" t="s">
        <v>279</v>
      </c>
      <c r="N16" s="483" t="s">
        <v>317</v>
      </c>
      <c r="O16" s="107" t="s">
        <v>302</v>
      </c>
      <c r="P16" s="11" t="s">
        <v>302</v>
      </c>
      <c r="Q16" s="19" t="s">
        <v>278</v>
      </c>
      <c r="R16" s="11" t="s">
        <v>449</v>
      </c>
      <c r="S16" s="82" t="s">
        <v>279</v>
      </c>
      <c r="T16" s="173" t="s">
        <v>284</v>
      </c>
      <c r="U16" s="200"/>
      <c r="V16" s="201"/>
      <c r="W16" s="200">
        <v>21</v>
      </c>
      <c r="X16" s="202"/>
      <c r="Y16" s="275">
        <v>15</v>
      </c>
      <c r="Z16" s="243"/>
      <c r="AA16" s="203">
        <v>16</v>
      </c>
      <c r="AB16" s="204">
        <v>11</v>
      </c>
      <c r="AC16" s="205"/>
      <c r="AD16" s="202">
        <v>24</v>
      </c>
      <c r="AE16" s="205"/>
      <c r="AF16" s="206"/>
      <c r="AG16" s="360">
        <v>12</v>
      </c>
      <c r="AH16" s="367"/>
      <c r="AI16" s="374"/>
      <c r="AJ16" s="202">
        <v>23</v>
      </c>
      <c r="AK16" s="205"/>
      <c r="AL16" s="297"/>
      <c r="AM16" s="208"/>
      <c r="AN16" s="212"/>
      <c r="AO16" s="214">
        <v>32</v>
      </c>
      <c r="AP16" s="308">
        <v>22</v>
      </c>
      <c r="AQ16" s="283">
        <v>33</v>
      </c>
      <c r="AR16" s="319"/>
      <c r="AS16" s="381">
        <v>31</v>
      </c>
      <c r="AT16" s="233">
        <v>13</v>
      </c>
      <c r="AU16" s="393"/>
      <c r="AV16" s="405"/>
      <c r="AW16" s="361"/>
      <c r="AX16" s="422">
        <v>36</v>
      </c>
      <c r="AY16" s="382">
        <v>25</v>
      </c>
      <c r="AZ16" s="422">
        <v>35</v>
      </c>
      <c r="BA16" s="383">
        <v>34</v>
      </c>
      <c r="BB16" s="423">
        <v>14</v>
      </c>
      <c r="BC16" s="463"/>
      <c r="BD16" s="424"/>
      <c r="BE16" s="472">
        <v>26</v>
      </c>
      <c r="BF16" s="425"/>
      <c r="BG16" s="1">
        <f t="shared" si="0"/>
        <v>18</v>
      </c>
      <c r="BH16" s="1">
        <f t="shared" si="1"/>
        <v>423</v>
      </c>
    </row>
    <row r="17" spans="1:60" ht="24.95" customHeight="1" x14ac:dyDescent="0.3">
      <c r="A17" s="540"/>
      <c r="B17" s="20">
        <v>5</v>
      </c>
      <c r="C17" s="64" t="s">
        <v>282</v>
      </c>
      <c r="D17" s="23" t="s">
        <v>432</v>
      </c>
      <c r="E17" s="23" t="s">
        <v>281</v>
      </c>
      <c r="F17" s="23" t="s">
        <v>434</v>
      </c>
      <c r="G17" s="99" t="s">
        <v>431</v>
      </c>
      <c r="H17" s="65" t="s">
        <v>429</v>
      </c>
      <c r="I17" s="13" t="s">
        <v>278</v>
      </c>
      <c r="J17" s="11" t="s">
        <v>422</v>
      </c>
      <c r="K17" s="11" t="s">
        <v>420</v>
      </c>
      <c r="L17" s="16" t="s">
        <v>428</v>
      </c>
      <c r="M17" s="118" t="s">
        <v>425</v>
      </c>
      <c r="N17" s="484" t="s">
        <v>317</v>
      </c>
      <c r="O17" s="107" t="s">
        <v>450</v>
      </c>
      <c r="P17" s="11" t="s">
        <v>451</v>
      </c>
      <c r="Q17" s="11" t="s">
        <v>280</v>
      </c>
      <c r="R17" s="11" t="s">
        <v>280</v>
      </c>
      <c r="S17" s="82" t="s">
        <v>279</v>
      </c>
      <c r="T17" s="175" t="s">
        <v>316</v>
      </c>
      <c r="U17" s="200">
        <v>22</v>
      </c>
      <c r="V17" s="201">
        <v>15</v>
      </c>
      <c r="W17" s="200">
        <v>23</v>
      </c>
      <c r="X17" s="202">
        <v>12</v>
      </c>
      <c r="Y17" s="275"/>
      <c r="Z17" s="243"/>
      <c r="AA17" s="203"/>
      <c r="AB17" s="204"/>
      <c r="AC17" s="205">
        <v>14</v>
      </c>
      <c r="AD17" s="202">
        <v>25</v>
      </c>
      <c r="AE17" s="205">
        <v>16</v>
      </c>
      <c r="AF17" s="206"/>
      <c r="AG17" s="361"/>
      <c r="AH17" s="368"/>
      <c r="AI17" s="374">
        <v>24</v>
      </c>
      <c r="AJ17" s="202"/>
      <c r="AK17" s="205"/>
      <c r="AL17" s="301">
        <v>33</v>
      </c>
      <c r="AM17" s="208"/>
      <c r="AN17" s="207">
        <v>13</v>
      </c>
      <c r="AO17" s="287"/>
      <c r="AP17" s="308"/>
      <c r="AQ17" s="214">
        <v>32</v>
      </c>
      <c r="AR17" s="320">
        <v>21</v>
      </c>
      <c r="AS17" s="382">
        <v>31</v>
      </c>
      <c r="AT17" s="234">
        <v>11</v>
      </c>
      <c r="AU17" s="394"/>
      <c r="AV17" s="405"/>
      <c r="AW17" s="361"/>
      <c r="AX17" s="422"/>
      <c r="AY17" s="382"/>
      <c r="AZ17" s="422">
        <v>35</v>
      </c>
      <c r="BA17" s="365">
        <v>34</v>
      </c>
      <c r="BB17" s="423"/>
      <c r="BC17" s="463">
        <v>36</v>
      </c>
      <c r="BD17" s="424"/>
      <c r="BE17" s="472">
        <v>26</v>
      </c>
      <c r="BF17" s="425"/>
      <c r="BG17" s="1">
        <f t="shared" si="0"/>
        <v>18</v>
      </c>
      <c r="BH17" s="1">
        <f t="shared" si="1"/>
        <v>423</v>
      </c>
    </row>
    <row r="18" spans="1:60" ht="24.95" customHeight="1" x14ac:dyDescent="0.3">
      <c r="A18" s="540"/>
      <c r="B18" s="20">
        <v>6</v>
      </c>
      <c r="C18" s="64" t="s">
        <v>431</v>
      </c>
      <c r="D18" s="23" t="s">
        <v>282</v>
      </c>
      <c r="E18" s="23" t="s">
        <v>281</v>
      </c>
      <c r="F18" s="23" t="s">
        <v>302</v>
      </c>
      <c r="G18" s="99" t="s">
        <v>303</v>
      </c>
      <c r="H18" s="65" t="s">
        <v>434</v>
      </c>
      <c r="I18" s="13" t="s">
        <v>278</v>
      </c>
      <c r="J18" s="11" t="s">
        <v>280</v>
      </c>
      <c r="K18" s="11" t="s">
        <v>421</v>
      </c>
      <c r="L18" s="11" t="s">
        <v>279</v>
      </c>
      <c r="M18" s="11" t="s">
        <v>426</v>
      </c>
      <c r="N18" s="483" t="s">
        <v>317</v>
      </c>
      <c r="O18" s="107" t="s">
        <v>284</v>
      </c>
      <c r="P18" s="11" t="s">
        <v>285</v>
      </c>
      <c r="Q18" s="11" t="s">
        <v>280</v>
      </c>
      <c r="R18" s="11" t="s">
        <v>280</v>
      </c>
      <c r="S18" s="82" t="s">
        <v>279</v>
      </c>
      <c r="T18" s="173" t="s">
        <v>319</v>
      </c>
      <c r="U18" s="200"/>
      <c r="V18" s="201">
        <v>11</v>
      </c>
      <c r="W18" s="200"/>
      <c r="X18" s="202"/>
      <c r="Y18" s="275"/>
      <c r="Z18" s="243"/>
      <c r="AA18" s="203"/>
      <c r="AB18" s="204"/>
      <c r="AC18" s="205">
        <v>16</v>
      </c>
      <c r="AD18" s="202"/>
      <c r="AE18" s="205"/>
      <c r="AF18" s="206"/>
      <c r="AG18" s="361"/>
      <c r="AH18" s="368"/>
      <c r="AI18" s="374"/>
      <c r="AJ18" s="202">
        <v>14</v>
      </c>
      <c r="AK18" s="205">
        <v>25</v>
      </c>
      <c r="AL18" s="301">
        <v>33</v>
      </c>
      <c r="AM18" s="208"/>
      <c r="AN18" s="207">
        <v>13</v>
      </c>
      <c r="AO18" s="288"/>
      <c r="AP18" s="308"/>
      <c r="AQ18" s="214"/>
      <c r="AR18" s="321">
        <v>21</v>
      </c>
      <c r="AS18" s="383">
        <v>22</v>
      </c>
      <c r="AT18" s="230">
        <v>12</v>
      </c>
      <c r="AU18" s="390">
        <v>23</v>
      </c>
      <c r="AV18" s="405"/>
      <c r="AW18" s="444">
        <v>24</v>
      </c>
      <c r="AX18" s="427">
        <v>31</v>
      </c>
      <c r="AY18" s="365"/>
      <c r="AZ18" s="422">
        <v>35</v>
      </c>
      <c r="BA18" s="365">
        <v>34</v>
      </c>
      <c r="BB18" s="423">
        <v>15</v>
      </c>
      <c r="BC18" s="463"/>
      <c r="BD18" s="424">
        <v>36</v>
      </c>
      <c r="BE18" s="472">
        <v>26</v>
      </c>
      <c r="BF18" s="425">
        <v>32</v>
      </c>
      <c r="BG18" s="1">
        <f t="shared" si="0"/>
        <v>18</v>
      </c>
      <c r="BH18" s="1">
        <f t="shared" si="1"/>
        <v>423</v>
      </c>
    </row>
    <row r="19" spans="1:60" ht="24.95" customHeight="1" thickBot="1" x14ac:dyDescent="0.35">
      <c r="A19" s="541"/>
      <c r="B19" s="57">
        <v>7</v>
      </c>
      <c r="C19" s="66" t="s">
        <v>302</v>
      </c>
      <c r="D19" s="67" t="s">
        <v>429</v>
      </c>
      <c r="E19" s="24" t="s">
        <v>281</v>
      </c>
      <c r="F19" s="67" t="s">
        <v>435</v>
      </c>
      <c r="G19" s="100" t="s">
        <v>303</v>
      </c>
      <c r="H19" s="68" t="s">
        <v>431</v>
      </c>
      <c r="I19" s="13" t="s">
        <v>278</v>
      </c>
      <c r="J19" s="26" t="s">
        <v>280</v>
      </c>
      <c r="K19" s="26" t="s">
        <v>421</v>
      </c>
      <c r="L19" s="26" t="s">
        <v>279</v>
      </c>
      <c r="M19" s="11" t="s">
        <v>426</v>
      </c>
      <c r="N19" s="12" t="s">
        <v>221</v>
      </c>
      <c r="O19" s="107" t="s">
        <v>284</v>
      </c>
      <c r="P19" s="11" t="s">
        <v>285</v>
      </c>
      <c r="Q19" s="26" t="s">
        <v>450</v>
      </c>
      <c r="R19" s="11" t="s">
        <v>302</v>
      </c>
      <c r="S19" s="82" t="s">
        <v>279</v>
      </c>
      <c r="T19" s="173" t="s">
        <v>319</v>
      </c>
      <c r="U19" s="216">
        <v>16</v>
      </c>
      <c r="V19" s="273"/>
      <c r="W19" s="216"/>
      <c r="X19" s="217"/>
      <c r="Y19" s="277"/>
      <c r="Z19" s="265"/>
      <c r="AA19" s="219"/>
      <c r="AB19" s="220">
        <v>14</v>
      </c>
      <c r="AC19" s="221"/>
      <c r="AD19" s="217"/>
      <c r="AE19" s="221">
        <v>12</v>
      </c>
      <c r="AF19" s="218"/>
      <c r="AG19" s="363"/>
      <c r="AH19" s="370"/>
      <c r="AI19" s="376">
        <v>26</v>
      </c>
      <c r="AJ19" s="217">
        <v>11</v>
      </c>
      <c r="AK19" s="221">
        <v>25</v>
      </c>
      <c r="AL19" s="297">
        <v>33</v>
      </c>
      <c r="AM19" s="247"/>
      <c r="AN19" s="305">
        <v>13</v>
      </c>
      <c r="AO19" s="289"/>
      <c r="AP19" s="312"/>
      <c r="AQ19" s="226"/>
      <c r="AR19" s="227">
        <v>21</v>
      </c>
      <c r="AS19" s="384">
        <v>22</v>
      </c>
      <c r="AT19" s="236"/>
      <c r="AU19" s="395">
        <v>23</v>
      </c>
      <c r="AV19" s="413"/>
      <c r="AW19" s="443">
        <v>24</v>
      </c>
      <c r="AX19" s="428">
        <v>31</v>
      </c>
      <c r="AY19" s="450"/>
      <c r="AZ19" s="429">
        <v>34</v>
      </c>
      <c r="BA19" s="456">
        <v>35</v>
      </c>
      <c r="BB19" s="416">
        <v>15</v>
      </c>
      <c r="BC19" s="464"/>
      <c r="BD19" s="430">
        <v>36</v>
      </c>
      <c r="BE19" s="473"/>
      <c r="BF19" s="431">
        <v>32</v>
      </c>
      <c r="BG19" s="1">
        <f t="shared" si="0"/>
        <v>18</v>
      </c>
      <c r="BH19" s="1">
        <f t="shared" si="1"/>
        <v>423</v>
      </c>
    </row>
    <row r="20" spans="1:60" ht="24.95" customHeight="1" x14ac:dyDescent="0.3">
      <c r="A20" s="542" t="s">
        <v>41</v>
      </c>
      <c r="B20" s="73">
        <v>1</v>
      </c>
      <c r="C20" s="51" t="s">
        <v>283</v>
      </c>
      <c r="D20" s="19" t="s">
        <v>435</v>
      </c>
      <c r="E20" s="19" t="s">
        <v>437</v>
      </c>
      <c r="F20" s="19" t="s">
        <v>430</v>
      </c>
      <c r="G20" s="21" t="s">
        <v>432</v>
      </c>
      <c r="H20" s="48" t="s">
        <v>434</v>
      </c>
      <c r="I20" s="33" t="s">
        <v>421</v>
      </c>
      <c r="J20" s="110" t="s">
        <v>280</v>
      </c>
      <c r="K20" s="351" t="s">
        <v>278</v>
      </c>
      <c r="L20" s="30" t="s">
        <v>426</v>
      </c>
      <c r="M20" s="31" t="s">
        <v>279</v>
      </c>
      <c r="N20" s="490" t="s">
        <v>317</v>
      </c>
      <c r="O20" s="72" t="s">
        <v>278</v>
      </c>
      <c r="P20" s="30" t="s">
        <v>280</v>
      </c>
      <c r="Q20" s="30" t="s">
        <v>278</v>
      </c>
      <c r="R20" s="32" t="s">
        <v>290</v>
      </c>
      <c r="S20" s="179" t="s">
        <v>290</v>
      </c>
      <c r="T20" s="176" t="s">
        <v>317</v>
      </c>
      <c r="U20" s="237"/>
      <c r="V20" s="228"/>
      <c r="W20" s="237"/>
      <c r="X20" s="238">
        <v>15</v>
      </c>
      <c r="Y20" s="278"/>
      <c r="Z20" s="267"/>
      <c r="AA20" s="239"/>
      <c r="AB20" s="238">
        <v>12</v>
      </c>
      <c r="AC20" s="240">
        <v>16</v>
      </c>
      <c r="AD20" s="238"/>
      <c r="AE20" s="240"/>
      <c r="AF20" s="476"/>
      <c r="AG20" s="366">
        <v>14</v>
      </c>
      <c r="AH20" s="372"/>
      <c r="AI20" s="377">
        <v>13</v>
      </c>
      <c r="AJ20" s="238"/>
      <c r="AK20" s="240">
        <v>24</v>
      </c>
      <c r="AL20" s="302">
        <v>23</v>
      </c>
      <c r="AM20" s="195">
        <v>31</v>
      </c>
      <c r="AN20" s="306"/>
      <c r="AO20" s="290">
        <v>32</v>
      </c>
      <c r="AP20" s="313">
        <v>22</v>
      </c>
      <c r="AQ20" s="290">
        <v>33</v>
      </c>
      <c r="AR20" s="311"/>
      <c r="AS20" s="378"/>
      <c r="AT20" s="197">
        <v>11</v>
      </c>
      <c r="AU20" s="386">
        <v>21</v>
      </c>
      <c r="AV20" s="432">
        <v>35</v>
      </c>
      <c r="AW20" s="445">
        <v>34</v>
      </c>
      <c r="AX20" s="433"/>
      <c r="AY20" s="451">
        <v>25</v>
      </c>
      <c r="AZ20" s="433"/>
      <c r="BA20" s="455"/>
      <c r="BB20" s="434"/>
      <c r="BC20" s="458"/>
      <c r="BD20" s="403">
        <v>36</v>
      </c>
      <c r="BE20" s="467"/>
      <c r="BF20" s="435">
        <v>26</v>
      </c>
      <c r="BG20" s="1">
        <f t="shared" si="0"/>
        <v>18</v>
      </c>
      <c r="BH20" s="1">
        <f t="shared" si="1"/>
        <v>423</v>
      </c>
    </row>
    <row r="21" spans="1:60" ht="24.95" customHeight="1" x14ac:dyDescent="0.3">
      <c r="A21" s="540"/>
      <c r="B21" s="20">
        <v>2</v>
      </c>
      <c r="C21" s="41" t="s">
        <v>283</v>
      </c>
      <c r="D21" s="11" t="s">
        <v>432</v>
      </c>
      <c r="E21" s="11" t="s">
        <v>431</v>
      </c>
      <c r="F21" s="11" t="s">
        <v>434</v>
      </c>
      <c r="G21" s="12" t="s">
        <v>433</v>
      </c>
      <c r="H21" s="42" t="s">
        <v>430</v>
      </c>
      <c r="I21" s="165" t="s">
        <v>421</v>
      </c>
      <c r="J21" s="357" t="s">
        <v>280</v>
      </c>
      <c r="K21" s="22" t="s">
        <v>278</v>
      </c>
      <c r="L21" s="13" t="s">
        <v>68</v>
      </c>
      <c r="M21" s="12" t="s">
        <v>279</v>
      </c>
      <c r="N21" s="491" t="s">
        <v>317</v>
      </c>
      <c r="O21" s="54" t="s">
        <v>278</v>
      </c>
      <c r="P21" s="11" t="s">
        <v>280</v>
      </c>
      <c r="Q21" s="11" t="s">
        <v>278</v>
      </c>
      <c r="R21" s="11" t="s">
        <v>290</v>
      </c>
      <c r="S21" s="11" t="s">
        <v>290</v>
      </c>
      <c r="T21" s="173" t="s">
        <v>317</v>
      </c>
      <c r="U21" s="200"/>
      <c r="V21" s="201">
        <v>13</v>
      </c>
      <c r="W21" s="200"/>
      <c r="X21" s="202">
        <v>12</v>
      </c>
      <c r="Y21" s="275"/>
      <c r="Z21" s="243">
        <v>15</v>
      </c>
      <c r="AA21" s="203"/>
      <c r="AB21" s="202"/>
      <c r="AC21" s="205">
        <v>14</v>
      </c>
      <c r="AD21" s="202">
        <v>24</v>
      </c>
      <c r="AE21" s="205"/>
      <c r="AF21" s="206"/>
      <c r="AG21" s="361">
        <v>16</v>
      </c>
      <c r="AH21" s="368"/>
      <c r="AI21" s="374"/>
      <c r="AJ21" s="202"/>
      <c r="AK21" s="205"/>
      <c r="AL21" s="297">
        <v>23</v>
      </c>
      <c r="AM21" s="208">
        <v>31</v>
      </c>
      <c r="AN21" s="207"/>
      <c r="AO21" s="285">
        <v>32</v>
      </c>
      <c r="AP21" s="314">
        <v>22</v>
      </c>
      <c r="AQ21" s="246">
        <v>33</v>
      </c>
      <c r="AR21" s="308"/>
      <c r="AS21" s="378"/>
      <c r="AT21" s="209">
        <v>11</v>
      </c>
      <c r="AU21" s="388">
        <v>21</v>
      </c>
      <c r="AV21" s="405">
        <v>35</v>
      </c>
      <c r="AW21" s="442">
        <v>34</v>
      </c>
      <c r="AX21" s="406"/>
      <c r="AY21" s="452">
        <v>25</v>
      </c>
      <c r="AZ21" s="406"/>
      <c r="BA21" s="447"/>
      <c r="BB21" s="436"/>
      <c r="BC21" s="460"/>
      <c r="BD21" s="411">
        <v>36</v>
      </c>
      <c r="BE21" s="469"/>
      <c r="BF21" s="409">
        <v>26</v>
      </c>
      <c r="BG21" s="1">
        <f t="shared" si="0"/>
        <v>18</v>
      </c>
      <c r="BH21" s="1">
        <f t="shared" si="1"/>
        <v>423</v>
      </c>
    </row>
    <row r="22" spans="1:60" ht="24.95" customHeight="1" x14ac:dyDescent="0.3">
      <c r="A22" s="540"/>
      <c r="B22" s="20">
        <v>3</v>
      </c>
      <c r="C22" s="41" t="s">
        <v>429</v>
      </c>
      <c r="D22" s="11" t="s">
        <v>437</v>
      </c>
      <c r="E22" s="11" t="s">
        <v>435</v>
      </c>
      <c r="F22" s="11" t="s">
        <v>433</v>
      </c>
      <c r="G22" s="12" t="s">
        <v>436</v>
      </c>
      <c r="H22" s="42" t="s">
        <v>420</v>
      </c>
      <c r="I22" s="108" t="s">
        <v>422</v>
      </c>
      <c r="J22" s="11" t="s">
        <v>281</v>
      </c>
      <c r="K22" s="19" t="s">
        <v>278</v>
      </c>
      <c r="L22" s="11" t="s">
        <v>313</v>
      </c>
      <c r="M22" s="12" t="s">
        <v>279</v>
      </c>
      <c r="N22" s="483" t="s">
        <v>317</v>
      </c>
      <c r="O22" s="54" t="s">
        <v>278</v>
      </c>
      <c r="P22" s="11" t="s">
        <v>280</v>
      </c>
      <c r="Q22" s="11" t="s">
        <v>278</v>
      </c>
      <c r="R22" s="11" t="s">
        <v>290</v>
      </c>
      <c r="S22" s="11" t="s">
        <v>290</v>
      </c>
      <c r="T22" s="173" t="s">
        <v>317</v>
      </c>
      <c r="U22" s="200">
        <v>21</v>
      </c>
      <c r="V22" s="201"/>
      <c r="W22" s="200">
        <v>16</v>
      </c>
      <c r="X22" s="202"/>
      <c r="Y22" s="275"/>
      <c r="Z22" s="243">
        <v>14</v>
      </c>
      <c r="AA22" s="203"/>
      <c r="AB22" s="202">
        <v>13</v>
      </c>
      <c r="AC22" s="205"/>
      <c r="AD22" s="202"/>
      <c r="AE22" s="205">
        <v>11</v>
      </c>
      <c r="AF22" s="206">
        <v>24</v>
      </c>
      <c r="AG22" s="361"/>
      <c r="AH22" s="368"/>
      <c r="AI22" s="374">
        <v>12</v>
      </c>
      <c r="AJ22" s="202">
        <v>15</v>
      </c>
      <c r="AK22" s="205"/>
      <c r="AL22" s="297">
        <v>23</v>
      </c>
      <c r="AM22" s="208">
        <v>31</v>
      </c>
      <c r="AN22" s="207">
        <v>22</v>
      </c>
      <c r="AO22" s="285">
        <v>32</v>
      </c>
      <c r="AP22" s="314"/>
      <c r="AQ22" s="246">
        <v>33</v>
      </c>
      <c r="AR22" s="215"/>
      <c r="AS22" s="365"/>
      <c r="AT22" s="209"/>
      <c r="AU22" s="388"/>
      <c r="AV22" s="405">
        <v>35</v>
      </c>
      <c r="AW22" s="442">
        <v>34</v>
      </c>
      <c r="AX22" s="406"/>
      <c r="AY22" s="452">
        <v>25</v>
      </c>
      <c r="AZ22" s="406"/>
      <c r="BA22" s="447"/>
      <c r="BB22" s="436"/>
      <c r="BC22" s="460"/>
      <c r="BD22" s="411">
        <v>36</v>
      </c>
      <c r="BE22" s="469">
        <v>26</v>
      </c>
      <c r="BF22" s="412"/>
      <c r="BG22" s="1">
        <f t="shared" si="0"/>
        <v>18</v>
      </c>
      <c r="BH22" s="1">
        <f t="shared" si="1"/>
        <v>423</v>
      </c>
    </row>
    <row r="23" spans="1:60" ht="24.95" customHeight="1" x14ac:dyDescent="0.3">
      <c r="A23" s="540"/>
      <c r="B23" s="20">
        <v>4</v>
      </c>
      <c r="C23" s="41" t="s">
        <v>433</v>
      </c>
      <c r="D23" s="11" t="s">
        <v>434</v>
      </c>
      <c r="E23" s="11" t="s">
        <v>429</v>
      </c>
      <c r="F23" s="11" t="s">
        <v>432</v>
      </c>
      <c r="G23" s="12" t="s">
        <v>431</v>
      </c>
      <c r="H23" s="42" t="s">
        <v>435</v>
      </c>
      <c r="I23" s="108" t="s">
        <v>424</v>
      </c>
      <c r="J23" s="11" t="s">
        <v>281</v>
      </c>
      <c r="K23" s="11" t="s">
        <v>422</v>
      </c>
      <c r="L23" s="11" t="s">
        <v>427</v>
      </c>
      <c r="M23" s="12" t="s">
        <v>68</v>
      </c>
      <c r="N23" s="485" t="s">
        <v>317</v>
      </c>
      <c r="O23" s="54" t="s">
        <v>280</v>
      </c>
      <c r="P23" s="11" t="s">
        <v>314</v>
      </c>
      <c r="Q23" s="15" t="s">
        <v>280</v>
      </c>
      <c r="R23" s="11" t="s">
        <v>279</v>
      </c>
      <c r="S23" s="82" t="s">
        <v>284</v>
      </c>
      <c r="T23" s="173" t="s">
        <v>317</v>
      </c>
      <c r="U23" s="200">
        <v>23</v>
      </c>
      <c r="V23" s="201">
        <v>15</v>
      </c>
      <c r="W23" s="200"/>
      <c r="X23" s="202">
        <v>14</v>
      </c>
      <c r="Y23" s="275"/>
      <c r="Z23" s="243">
        <v>11</v>
      </c>
      <c r="AA23" s="203">
        <v>24</v>
      </c>
      <c r="AB23" s="202">
        <v>16</v>
      </c>
      <c r="AC23" s="205">
        <v>12</v>
      </c>
      <c r="AD23" s="202">
        <v>25</v>
      </c>
      <c r="AE23" s="205">
        <v>13</v>
      </c>
      <c r="AF23" s="206">
        <v>21</v>
      </c>
      <c r="AG23" s="361"/>
      <c r="AH23" s="368">
        <v>32</v>
      </c>
      <c r="AI23" s="374"/>
      <c r="AJ23" s="202"/>
      <c r="AK23" s="205"/>
      <c r="AL23" s="297">
        <v>33</v>
      </c>
      <c r="AM23" s="208"/>
      <c r="AN23" s="207">
        <v>22</v>
      </c>
      <c r="AO23" s="213"/>
      <c r="AP23" s="314"/>
      <c r="AQ23" s="208"/>
      <c r="AR23" s="215"/>
      <c r="AS23" s="365">
        <v>31</v>
      </c>
      <c r="AT23" s="209"/>
      <c r="AU23" s="388"/>
      <c r="AV23" s="405"/>
      <c r="AW23" s="442"/>
      <c r="AX23" s="406">
        <v>35</v>
      </c>
      <c r="AY23" s="452"/>
      <c r="AZ23" s="406">
        <v>34</v>
      </c>
      <c r="BA23" s="457"/>
      <c r="BB23" s="436"/>
      <c r="BC23" s="460"/>
      <c r="BD23" s="411">
        <v>36</v>
      </c>
      <c r="BE23" s="469">
        <v>26</v>
      </c>
      <c r="BF23" s="412"/>
      <c r="BG23" s="1">
        <f t="shared" si="0"/>
        <v>18</v>
      </c>
      <c r="BH23" s="1">
        <f t="shared" si="1"/>
        <v>423</v>
      </c>
    </row>
    <row r="24" spans="1:60" ht="24.95" customHeight="1" x14ac:dyDescent="0.3">
      <c r="A24" s="540"/>
      <c r="B24" s="20">
        <v>5</v>
      </c>
      <c r="C24" s="41" t="s">
        <v>437</v>
      </c>
      <c r="D24" s="14" t="s">
        <v>433</v>
      </c>
      <c r="E24" s="14" t="s">
        <v>432</v>
      </c>
      <c r="F24" s="14" t="s">
        <v>282</v>
      </c>
      <c r="G24" s="89" t="s">
        <v>430</v>
      </c>
      <c r="H24" s="42" t="s">
        <v>285</v>
      </c>
      <c r="I24" s="11" t="s">
        <v>281</v>
      </c>
      <c r="J24" s="11" t="s">
        <v>421</v>
      </c>
      <c r="K24" s="14" t="s">
        <v>278</v>
      </c>
      <c r="L24" s="11" t="s">
        <v>279</v>
      </c>
      <c r="M24" s="12" t="s">
        <v>302</v>
      </c>
      <c r="N24" s="12" t="s">
        <v>68</v>
      </c>
      <c r="O24" s="54" t="s">
        <v>280</v>
      </c>
      <c r="P24" s="11" t="s">
        <v>287</v>
      </c>
      <c r="Q24" s="11" t="s">
        <v>285</v>
      </c>
      <c r="R24" s="11" t="s">
        <v>314</v>
      </c>
      <c r="S24" s="82" t="s">
        <v>284</v>
      </c>
      <c r="T24" s="486" t="s">
        <v>318</v>
      </c>
      <c r="U24" s="200"/>
      <c r="V24" s="201"/>
      <c r="W24" s="200"/>
      <c r="X24" s="202">
        <v>13</v>
      </c>
      <c r="Y24" s="275"/>
      <c r="Z24" s="243">
        <v>12</v>
      </c>
      <c r="AA24" s="203"/>
      <c r="AB24" s="202"/>
      <c r="AC24" s="205"/>
      <c r="AD24" s="202">
        <v>26</v>
      </c>
      <c r="AE24" s="205"/>
      <c r="AF24" s="206"/>
      <c r="AG24" s="361">
        <v>15</v>
      </c>
      <c r="AH24" s="368">
        <v>34</v>
      </c>
      <c r="AI24" s="374">
        <v>11</v>
      </c>
      <c r="AJ24" s="202">
        <v>25</v>
      </c>
      <c r="AK24" s="205"/>
      <c r="AL24" s="301"/>
      <c r="AM24" s="208"/>
      <c r="AN24" s="212"/>
      <c r="AO24" s="208"/>
      <c r="AP24" s="308">
        <v>23</v>
      </c>
      <c r="AQ24" s="283"/>
      <c r="AR24" s="308">
        <v>21</v>
      </c>
      <c r="AS24" s="378">
        <v>31</v>
      </c>
      <c r="AT24" s="209">
        <v>32</v>
      </c>
      <c r="AU24" s="388">
        <v>22</v>
      </c>
      <c r="AV24" s="405"/>
      <c r="AW24" s="442"/>
      <c r="AX24" s="406">
        <v>35</v>
      </c>
      <c r="AY24" s="453">
        <v>24</v>
      </c>
      <c r="AZ24" s="406"/>
      <c r="BA24" s="457"/>
      <c r="BB24" s="407">
        <v>14</v>
      </c>
      <c r="BC24" s="460">
        <v>16</v>
      </c>
      <c r="BD24" s="411"/>
      <c r="BE24" s="469">
        <v>36</v>
      </c>
      <c r="BF24" s="409">
        <v>33</v>
      </c>
      <c r="BG24" s="1">
        <f t="shared" si="0"/>
        <v>18</v>
      </c>
      <c r="BH24" s="1">
        <f t="shared" si="1"/>
        <v>423</v>
      </c>
    </row>
    <row r="25" spans="1:60" ht="24.95" customHeight="1" x14ac:dyDescent="0.3">
      <c r="A25" s="540"/>
      <c r="B25" s="20">
        <v>6</v>
      </c>
      <c r="C25" s="54" t="s">
        <v>431</v>
      </c>
      <c r="D25" s="22" t="s">
        <v>430</v>
      </c>
      <c r="E25" s="22" t="s">
        <v>433</v>
      </c>
      <c r="F25" s="22" t="s">
        <v>429</v>
      </c>
      <c r="G25" s="101" t="s">
        <v>282</v>
      </c>
      <c r="H25" s="92" t="s">
        <v>285</v>
      </c>
      <c r="I25" s="11" t="s">
        <v>281</v>
      </c>
      <c r="J25" s="12" t="s">
        <v>422</v>
      </c>
      <c r="K25" s="22" t="s">
        <v>278</v>
      </c>
      <c r="L25" s="13" t="s">
        <v>279</v>
      </c>
      <c r="M25" s="12" t="s">
        <v>221</v>
      </c>
      <c r="N25" s="12" t="s">
        <v>426</v>
      </c>
      <c r="O25" s="54" t="s">
        <v>280</v>
      </c>
      <c r="P25" s="11" t="s">
        <v>287</v>
      </c>
      <c r="Q25" s="15" t="s">
        <v>314</v>
      </c>
      <c r="R25" s="11" t="s">
        <v>284</v>
      </c>
      <c r="S25" s="82" t="s">
        <v>280</v>
      </c>
      <c r="T25" s="486" t="s">
        <v>318</v>
      </c>
      <c r="U25" s="200">
        <v>22</v>
      </c>
      <c r="V25" s="201">
        <v>11</v>
      </c>
      <c r="W25" s="275"/>
      <c r="X25" s="243"/>
      <c r="Y25" s="275"/>
      <c r="Z25" s="243">
        <v>13</v>
      </c>
      <c r="AA25" s="203"/>
      <c r="AB25" s="202"/>
      <c r="AC25" s="205"/>
      <c r="AD25" s="202"/>
      <c r="AE25" s="205">
        <v>14</v>
      </c>
      <c r="AF25" s="206"/>
      <c r="AG25" s="361">
        <v>12</v>
      </c>
      <c r="AH25" s="368">
        <v>33</v>
      </c>
      <c r="AI25" s="374">
        <v>25</v>
      </c>
      <c r="AJ25" s="202"/>
      <c r="AK25" s="205">
        <v>26</v>
      </c>
      <c r="AL25" s="301"/>
      <c r="AM25" s="208"/>
      <c r="AN25" s="212"/>
      <c r="AO25" s="208"/>
      <c r="AP25" s="308">
        <v>23</v>
      </c>
      <c r="AQ25" s="283"/>
      <c r="AR25" s="308">
        <v>21</v>
      </c>
      <c r="AS25" s="378">
        <v>31</v>
      </c>
      <c r="AT25" s="209">
        <v>32</v>
      </c>
      <c r="AU25" s="283"/>
      <c r="AV25" s="405"/>
      <c r="AW25" s="442"/>
      <c r="AX25" s="406">
        <v>34</v>
      </c>
      <c r="AY25" s="447">
        <v>24</v>
      </c>
      <c r="AZ25" s="406"/>
      <c r="BA25" s="457">
        <v>35</v>
      </c>
      <c r="BB25" s="407">
        <v>15</v>
      </c>
      <c r="BC25" s="460">
        <v>16</v>
      </c>
      <c r="BD25" s="411"/>
      <c r="BE25" s="469">
        <v>36</v>
      </c>
      <c r="BF25" s="412"/>
      <c r="BG25" s="1">
        <f t="shared" si="0"/>
        <v>18</v>
      </c>
      <c r="BH25" s="1">
        <f t="shared" si="1"/>
        <v>423</v>
      </c>
    </row>
    <row r="26" spans="1:60" ht="24.95" customHeight="1" thickBot="1" x14ac:dyDescent="0.35">
      <c r="A26" s="541"/>
      <c r="B26" s="57">
        <v>7</v>
      </c>
      <c r="C26" s="77" t="s">
        <v>434</v>
      </c>
      <c r="D26" s="24" t="s">
        <v>431</v>
      </c>
      <c r="E26" s="24" t="s">
        <v>434</v>
      </c>
      <c r="F26" s="24" t="s">
        <v>435</v>
      </c>
      <c r="G26" s="102" t="s">
        <v>429</v>
      </c>
      <c r="H26" s="103" t="s">
        <v>285</v>
      </c>
      <c r="I26" s="28" t="s">
        <v>278</v>
      </c>
      <c r="J26" s="26" t="s">
        <v>424</v>
      </c>
      <c r="K26" s="354" t="s">
        <v>278</v>
      </c>
      <c r="L26" s="26" t="s">
        <v>302</v>
      </c>
      <c r="M26" s="27" t="s">
        <v>427</v>
      </c>
      <c r="N26" s="27" t="s">
        <v>426</v>
      </c>
      <c r="O26" s="54" t="s">
        <v>314</v>
      </c>
      <c r="P26" s="93" t="s">
        <v>287</v>
      </c>
      <c r="Q26" s="29" t="s">
        <v>285</v>
      </c>
      <c r="R26" s="29" t="s">
        <v>284</v>
      </c>
      <c r="S26" s="82" t="s">
        <v>280</v>
      </c>
      <c r="T26" s="173" t="s">
        <v>302</v>
      </c>
      <c r="U26" s="216"/>
      <c r="V26" s="273">
        <v>12</v>
      </c>
      <c r="W26" s="216"/>
      <c r="X26" s="217"/>
      <c r="Y26" s="277"/>
      <c r="Z26" s="265"/>
      <c r="AA26" s="219">
        <v>25</v>
      </c>
      <c r="AB26" s="217">
        <v>14</v>
      </c>
      <c r="AC26" s="221">
        <v>13</v>
      </c>
      <c r="AD26" s="217">
        <v>11</v>
      </c>
      <c r="AE26" s="221">
        <v>15</v>
      </c>
      <c r="AF26" s="218">
        <v>22</v>
      </c>
      <c r="AG26" s="363"/>
      <c r="AH26" s="370">
        <v>31</v>
      </c>
      <c r="AI26" s="376"/>
      <c r="AJ26" s="217">
        <v>24</v>
      </c>
      <c r="AK26" s="221">
        <v>26</v>
      </c>
      <c r="AL26" s="300"/>
      <c r="AM26" s="247"/>
      <c r="AN26" s="225"/>
      <c r="AO26" s="208"/>
      <c r="AP26" s="227">
        <v>23</v>
      </c>
      <c r="AQ26" s="291"/>
      <c r="AR26" s="312">
        <v>21</v>
      </c>
      <c r="AS26" s="385"/>
      <c r="AT26" s="245">
        <v>32</v>
      </c>
      <c r="AU26" s="396"/>
      <c r="AV26" s="413"/>
      <c r="AW26" s="443"/>
      <c r="AX26" s="414">
        <v>34</v>
      </c>
      <c r="AY26" s="448"/>
      <c r="AZ26" s="414"/>
      <c r="BA26" s="448">
        <v>35</v>
      </c>
      <c r="BB26" s="416"/>
      <c r="BC26" s="465">
        <v>16</v>
      </c>
      <c r="BD26" s="437">
        <v>36</v>
      </c>
      <c r="BE26" s="474"/>
      <c r="BF26" s="438">
        <v>33</v>
      </c>
      <c r="BG26" s="1">
        <f t="shared" si="0"/>
        <v>18</v>
      </c>
      <c r="BH26" s="1">
        <f t="shared" si="1"/>
        <v>423</v>
      </c>
    </row>
    <row r="27" spans="1:60" ht="24.95" customHeight="1" x14ac:dyDescent="0.3">
      <c r="A27" s="540" t="s">
        <v>42</v>
      </c>
      <c r="B27" s="56">
        <v>1</v>
      </c>
      <c r="C27" s="51" t="s">
        <v>435</v>
      </c>
      <c r="D27" s="19" t="s">
        <v>434</v>
      </c>
      <c r="E27" s="19" t="s">
        <v>436</v>
      </c>
      <c r="F27" s="19" t="s">
        <v>432</v>
      </c>
      <c r="G27" s="21" t="s">
        <v>437</v>
      </c>
      <c r="H27" s="48" t="s">
        <v>429</v>
      </c>
      <c r="I27" s="25" t="s">
        <v>420</v>
      </c>
      <c r="J27" s="19" t="s">
        <v>281</v>
      </c>
      <c r="K27" s="19" t="s">
        <v>278</v>
      </c>
      <c r="L27" s="19" t="s">
        <v>426</v>
      </c>
      <c r="M27" s="21" t="s">
        <v>279</v>
      </c>
      <c r="N27" s="492" t="s">
        <v>448</v>
      </c>
      <c r="O27" s="352" t="s">
        <v>278</v>
      </c>
      <c r="P27" s="30" t="s">
        <v>280</v>
      </c>
      <c r="Q27" s="30" t="s">
        <v>278</v>
      </c>
      <c r="R27" s="30" t="s">
        <v>290</v>
      </c>
      <c r="S27" s="179" t="s">
        <v>290</v>
      </c>
      <c r="T27" s="176" t="s">
        <v>316</v>
      </c>
      <c r="U27" s="187"/>
      <c r="V27" s="188"/>
      <c r="W27" s="187">
        <v>21</v>
      </c>
      <c r="X27" s="189">
        <v>14</v>
      </c>
      <c r="Y27" s="279"/>
      <c r="Z27" s="266"/>
      <c r="AA27" s="190"/>
      <c r="AB27" s="189">
        <v>11</v>
      </c>
      <c r="AC27" s="192">
        <v>12</v>
      </c>
      <c r="AD27" s="189"/>
      <c r="AE27" s="192">
        <v>16</v>
      </c>
      <c r="AF27" s="193"/>
      <c r="AG27" s="360"/>
      <c r="AH27" s="367"/>
      <c r="AI27" s="373">
        <v>15</v>
      </c>
      <c r="AJ27" s="189">
        <v>13</v>
      </c>
      <c r="AK27" s="192">
        <v>24</v>
      </c>
      <c r="AL27" s="302"/>
      <c r="AM27" s="208">
        <v>31</v>
      </c>
      <c r="AN27" s="306">
        <v>22</v>
      </c>
      <c r="AO27" s="284">
        <v>32</v>
      </c>
      <c r="AP27" s="306">
        <v>23</v>
      </c>
      <c r="AQ27" s="241">
        <v>33</v>
      </c>
      <c r="AR27" s="311"/>
      <c r="AS27" s="378"/>
      <c r="AT27" s="229"/>
      <c r="AU27" s="397"/>
      <c r="AV27" s="400">
        <v>35</v>
      </c>
      <c r="AW27" s="441">
        <v>34</v>
      </c>
      <c r="AX27" s="401"/>
      <c r="AY27" s="446"/>
      <c r="AZ27" s="401">
        <v>25</v>
      </c>
      <c r="BA27" s="446"/>
      <c r="BB27" s="402"/>
      <c r="BC27" s="458">
        <v>36</v>
      </c>
      <c r="BD27" s="403"/>
      <c r="BE27" s="467"/>
      <c r="BF27" s="404">
        <v>26</v>
      </c>
      <c r="BG27" s="1">
        <f t="shared" si="0"/>
        <v>18</v>
      </c>
      <c r="BH27" s="1">
        <f t="shared" si="1"/>
        <v>423</v>
      </c>
    </row>
    <row r="28" spans="1:60" ht="24.95" customHeight="1" x14ac:dyDescent="0.3">
      <c r="A28" s="540"/>
      <c r="B28" s="20">
        <v>2</v>
      </c>
      <c r="C28" s="41" t="s">
        <v>431</v>
      </c>
      <c r="D28" s="11" t="s">
        <v>436</v>
      </c>
      <c r="E28" s="11" t="s">
        <v>432</v>
      </c>
      <c r="F28" s="11" t="s">
        <v>433</v>
      </c>
      <c r="G28" s="12" t="s">
        <v>430</v>
      </c>
      <c r="H28" s="42" t="s">
        <v>432</v>
      </c>
      <c r="I28" s="13" t="s">
        <v>422</v>
      </c>
      <c r="J28" s="11" t="s">
        <v>281</v>
      </c>
      <c r="K28" s="19" t="s">
        <v>278</v>
      </c>
      <c r="L28" s="11" t="s">
        <v>68</v>
      </c>
      <c r="M28" s="12" t="s">
        <v>279</v>
      </c>
      <c r="N28" s="491" t="s">
        <v>448</v>
      </c>
      <c r="O28" s="353" t="s">
        <v>278</v>
      </c>
      <c r="P28" s="13" t="s">
        <v>280</v>
      </c>
      <c r="Q28" s="19" t="s">
        <v>278</v>
      </c>
      <c r="R28" s="11" t="s">
        <v>290</v>
      </c>
      <c r="S28" s="82" t="s">
        <v>290</v>
      </c>
      <c r="T28" s="173" t="s">
        <v>316</v>
      </c>
      <c r="U28" s="200">
        <v>21</v>
      </c>
      <c r="V28" s="201">
        <v>11</v>
      </c>
      <c r="W28" s="200">
        <v>16</v>
      </c>
      <c r="X28" s="202">
        <v>13</v>
      </c>
      <c r="Y28" s="275">
        <v>14</v>
      </c>
      <c r="Z28" s="243"/>
      <c r="AA28" s="203"/>
      <c r="AB28" s="204"/>
      <c r="AC28" s="205"/>
      <c r="AD28" s="202">
        <v>24</v>
      </c>
      <c r="AE28" s="205"/>
      <c r="AF28" s="206"/>
      <c r="AG28" s="361">
        <v>15</v>
      </c>
      <c r="AH28" s="368"/>
      <c r="AI28" s="374"/>
      <c r="AJ28" s="202">
        <v>12</v>
      </c>
      <c r="AK28" s="205"/>
      <c r="AL28" s="297"/>
      <c r="AM28" s="208">
        <v>31</v>
      </c>
      <c r="AN28" s="207">
        <v>22</v>
      </c>
      <c r="AO28" s="283">
        <v>32</v>
      </c>
      <c r="AP28" s="207">
        <v>23</v>
      </c>
      <c r="AQ28" s="213">
        <v>33</v>
      </c>
      <c r="AR28" s="308"/>
      <c r="AS28" s="378"/>
      <c r="AT28" s="209"/>
      <c r="AU28" s="388"/>
      <c r="AV28" s="405">
        <v>35</v>
      </c>
      <c r="AW28" s="442">
        <v>34</v>
      </c>
      <c r="AX28" s="406"/>
      <c r="AY28" s="447"/>
      <c r="AZ28" s="406">
        <v>25</v>
      </c>
      <c r="BA28" s="457"/>
      <c r="BB28" s="407"/>
      <c r="BC28" s="460">
        <v>36</v>
      </c>
      <c r="BD28" s="411"/>
      <c r="BE28" s="469"/>
      <c r="BF28" s="412">
        <v>26</v>
      </c>
      <c r="BG28" s="1">
        <f t="shared" si="0"/>
        <v>18</v>
      </c>
      <c r="BH28" s="1">
        <f t="shared" si="1"/>
        <v>423</v>
      </c>
    </row>
    <row r="29" spans="1:60" ht="24.95" customHeight="1" x14ac:dyDescent="0.3">
      <c r="A29" s="540"/>
      <c r="B29" s="20">
        <v>3</v>
      </c>
      <c r="C29" s="41" t="s">
        <v>433</v>
      </c>
      <c r="D29" s="11" t="s">
        <v>437</v>
      </c>
      <c r="E29" s="11" t="s">
        <v>160</v>
      </c>
      <c r="F29" s="104" t="s">
        <v>435</v>
      </c>
      <c r="G29" s="12" t="s">
        <v>429</v>
      </c>
      <c r="H29" s="42" t="s">
        <v>430</v>
      </c>
      <c r="I29" s="13" t="s">
        <v>281</v>
      </c>
      <c r="J29" s="11" t="s">
        <v>421</v>
      </c>
      <c r="K29" s="19" t="s">
        <v>278</v>
      </c>
      <c r="L29" s="11" t="s">
        <v>279</v>
      </c>
      <c r="M29" s="12" t="s">
        <v>425</v>
      </c>
      <c r="N29" s="12" t="s">
        <v>427</v>
      </c>
      <c r="O29" s="70" t="s">
        <v>278</v>
      </c>
      <c r="P29" s="11" t="s">
        <v>280</v>
      </c>
      <c r="Q29" s="19" t="s">
        <v>288</v>
      </c>
      <c r="R29" s="11" t="s">
        <v>290</v>
      </c>
      <c r="S29" s="82" t="s">
        <v>290</v>
      </c>
      <c r="T29" s="173" t="s">
        <v>316</v>
      </c>
      <c r="U29" s="200"/>
      <c r="V29" s="201"/>
      <c r="W29" s="200"/>
      <c r="X29" s="202"/>
      <c r="Y29" s="275">
        <v>11</v>
      </c>
      <c r="Z29" s="243"/>
      <c r="AA29" s="203">
        <v>26</v>
      </c>
      <c r="AB29" s="204">
        <v>14</v>
      </c>
      <c r="AC29" s="205">
        <v>13</v>
      </c>
      <c r="AD29" s="202">
        <v>25</v>
      </c>
      <c r="AE29" s="205">
        <v>15</v>
      </c>
      <c r="AF29" s="206"/>
      <c r="AG29" s="361">
        <v>16</v>
      </c>
      <c r="AH29" s="368"/>
      <c r="AI29" s="374">
        <v>12</v>
      </c>
      <c r="AJ29" s="202"/>
      <c r="AK29" s="205"/>
      <c r="AL29" s="297"/>
      <c r="AM29" s="208">
        <v>31</v>
      </c>
      <c r="AN29" s="207"/>
      <c r="AO29" s="283">
        <v>32</v>
      </c>
      <c r="AP29" s="207">
        <v>23</v>
      </c>
      <c r="AQ29" s="213">
        <v>33</v>
      </c>
      <c r="AR29" s="308">
        <v>21</v>
      </c>
      <c r="AS29" s="378"/>
      <c r="AT29" s="209"/>
      <c r="AU29" s="283">
        <v>22</v>
      </c>
      <c r="AV29" s="405">
        <v>35</v>
      </c>
      <c r="AW29" s="442">
        <v>34</v>
      </c>
      <c r="AX29" s="406"/>
      <c r="AY29" s="447"/>
      <c r="AZ29" s="406">
        <v>24</v>
      </c>
      <c r="BA29" s="457"/>
      <c r="BB29" s="407"/>
      <c r="BC29" s="460">
        <v>36</v>
      </c>
      <c r="BD29" s="411"/>
      <c r="BE29" s="469"/>
      <c r="BF29" s="409"/>
      <c r="BG29" s="1">
        <f t="shared" si="0"/>
        <v>18</v>
      </c>
      <c r="BH29" s="1">
        <f t="shared" si="1"/>
        <v>423</v>
      </c>
    </row>
    <row r="30" spans="1:60" ht="24.95" customHeight="1" x14ac:dyDescent="0.3">
      <c r="A30" s="540"/>
      <c r="B30" s="20">
        <v>4</v>
      </c>
      <c r="C30" s="41" t="s">
        <v>432</v>
      </c>
      <c r="D30" s="11" t="s">
        <v>438</v>
      </c>
      <c r="E30" s="11" t="s">
        <v>435</v>
      </c>
      <c r="F30" s="11" t="s">
        <v>430</v>
      </c>
      <c r="G30" s="12" t="s">
        <v>160</v>
      </c>
      <c r="H30" s="42" t="s">
        <v>431</v>
      </c>
      <c r="I30" s="13" t="s">
        <v>281</v>
      </c>
      <c r="J30" s="11" t="s">
        <v>420</v>
      </c>
      <c r="K30" s="19" t="s">
        <v>278</v>
      </c>
      <c r="L30" s="11" t="s">
        <v>279</v>
      </c>
      <c r="M30" s="12" t="s">
        <v>427</v>
      </c>
      <c r="N30" s="12" t="s">
        <v>423</v>
      </c>
      <c r="O30" s="54" t="s">
        <v>289</v>
      </c>
      <c r="P30" s="11" t="s">
        <v>286</v>
      </c>
      <c r="Q30" s="19" t="s">
        <v>280</v>
      </c>
      <c r="R30" s="487" t="s">
        <v>285</v>
      </c>
      <c r="S30" s="82" t="s">
        <v>280</v>
      </c>
      <c r="T30" s="173" t="s">
        <v>316</v>
      </c>
      <c r="U30" s="200">
        <v>16</v>
      </c>
      <c r="V30" s="201">
        <v>12</v>
      </c>
      <c r="W30" s="200">
        <v>22</v>
      </c>
      <c r="X30" s="202">
        <v>11</v>
      </c>
      <c r="Y30" s="275"/>
      <c r="Z30" s="243"/>
      <c r="AA30" s="203">
        <v>25</v>
      </c>
      <c r="AB30" s="202">
        <v>13</v>
      </c>
      <c r="AC30" s="205">
        <v>15</v>
      </c>
      <c r="AD30" s="202"/>
      <c r="AE30" s="205"/>
      <c r="AF30" s="206"/>
      <c r="AG30" s="477">
        <v>14</v>
      </c>
      <c r="AH30" s="368"/>
      <c r="AI30" s="374"/>
      <c r="AJ30" s="202">
        <v>26</v>
      </c>
      <c r="AK30" s="205"/>
      <c r="AL30" s="297">
        <v>33</v>
      </c>
      <c r="AM30" s="208"/>
      <c r="AN30" s="207"/>
      <c r="AO30" s="283"/>
      <c r="AP30" s="207">
        <v>23</v>
      </c>
      <c r="AQ30" s="213"/>
      <c r="AR30" s="308">
        <v>21</v>
      </c>
      <c r="AS30" s="378">
        <v>31</v>
      </c>
      <c r="AT30" s="209"/>
      <c r="AU30" s="388"/>
      <c r="AV30" s="405"/>
      <c r="AW30" s="442"/>
      <c r="AX30" s="406"/>
      <c r="AY30" s="447"/>
      <c r="AZ30" s="406">
        <v>24</v>
      </c>
      <c r="BA30" s="457">
        <v>35</v>
      </c>
      <c r="BB30" s="407">
        <v>32</v>
      </c>
      <c r="BC30" s="460">
        <v>36</v>
      </c>
      <c r="BD30" s="411"/>
      <c r="BE30" s="469">
        <v>34</v>
      </c>
      <c r="BF30" s="409"/>
      <c r="BG30" s="1">
        <f t="shared" si="0"/>
        <v>18</v>
      </c>
      <c r="BH30" s="1">
        <f t="shared" si="1"/>
        <v>423</v>
      </c>
    </row>
    <row r="31" spans="1:60" ht="24.95" customHeight="1" x14ac:dyDescent="0.3">
      <c r="A31" s="540"/>
      <c r="B31" s="20">
        <v>5</v>
      </c>
      <c r="C31" s="41" t="s">
        <v>281</v>
      </c>
      <c r="D31" s="104" t="s">
        <v>429</v>
      </c>
      <c r="E31" s="15" t="s">
        <v>433</v>
      </c>
      <c r="F31" s="15" t="s">
        <v>221</v>
      </c>
      <c r="G31" s="111" t="s">
        <v>420</v>
      </c>
      <c r="H31" s="55" t="s">
        <v>427</v>
      </c>
      <c r="I31" s="19" t="s">
        <v>278</v>
      </c>
      <c r="J31" s="12" t="s">
        <v>423</v>
      </c>
      <c r="K31" s="19" t="s">
        <v>278</v>
      </c>
      <c r="L31" s="11" t="s">
        <v>313</v>
      </c>
      <c r="M31" s="11" t="s">
        <v>279</v>
      </c>
      <c r="N31" s="491" t="s">
        <v>317</v>
      </c>
      <c r="O31" s="54" t="s">
        <v>280</v>
      </c>
      <c r="P31" s="11" t="s">
        <v>286</v>
      </c>
      <c r="Q31" s="19" t="s">
        <v>302</v>
      </c>
      <c r="R31" s="488" t="s">
        <v>285</v>
      </c>
      <c r="S31" s="82" t="s">
        <v>280</v>
      </c>
      <c r="T31" s="173" t="s">
        <v>317</v>
      </c>
      <c r="U31" s="200"/>
      <c r="V31" s="201"/>
      <c r="W31" s="200"/>
      <c r="X31" s="202">
        <v>15</v>
      </c>
      <c r="Y31" s="275">
        <v>13</v>
      </c>
      <c r="Z31" s="243"/>
      <c r="AA31" s="203">
        <v>16</v>
      </c>
      <c r="AB31" s="202"/>
      <c r="AC31" s="205"/>
      <c r="AD31" s="202"/>
      <c r="AE31" s="205">
        <v>12</v>
      </c>
      <c r="AF31" s="206">
        <v>24</v>
      </c>
      <c r="AG31" s="361"/>
      <c r="AH31" s="368"/>
      <c r="AI31" s="374">
        <v>14</v>
      </c>
      <c r="AJ31" s="202">
        <v>22</v>
      </c>
      <c r="AK31" s="205"/>
      <c r="AL31" s="301"/>
      <c r="AM31" s="208"/>
      <c r="AN31" s="207">
        <v>11</v>
      </c>
      <c r="AO31" s="208"/>
      <c r="AP31" s="242">
        <v>23</v>
      </c>
      <c r="AQ31" s="283">
        <v>33</v>
      </c>
      <c r="AR31" s="308">
        <v>21</v>
      </c>
      <c r="AS31" s="378">
        <v>31</v>
      </c>
      <c r="AT31" s="209"/>
      <c r="AU31" s="388"/>
      <c r="AV31" s="405"/>
      <c r="AW31" s="442"/>
      <c r="AX31" s="406"/>
      <c r="AY31" s="447">
        <v>25</v>
      </c>
      <c r="AZ31" s="406"/>
      <c r="BA31" s="457">
        <v>35</v>
      </c>
      <c r="BB31" s="436">
        <v>32</v>
      </c>
      <c r="BC31" s="460"/>
      <c r="BD31" s="411">
        <v>36</v>
      </c>
      <c r="BE31" s="469">
        <v>34</v>
      </c>
      <c r="BF31" s="409">
        <v>26</v>
      </c>
      <c r="BG31" s="2">
        <f t="shared" si="0"/>
        <v>18</v>
      </c>
      <c r="BH31" s="1">
        <f t="shared" si="1"/>
        <v>423</v>
      </c>
    </row>
    <row r="32" spans="1:60" ht="24.95" customHeight="1" x14ac:dyDescent="0.3">
      <c r="A32" s="540"/>
      <c r="B32" s="20">
        <v>6</v>
      </c>
      <c r="C32" s="41" t="s">
        <v>281</v>
      </c>
      <c r="D32" s="11" t="s">
        <v>283</v>
      </c>
      <c r="E32" s="11" t="s">
        <v>431</v>
      </c>
      <c r="F32" s="11" t="s">
        <v>429</v>
      </c>
      <c r="G32" s="12" t="s">
        <v>433</v>
      </c>
      <c r="H32" s="42" t="s">
        <v>221</v>
      </c>
      <c r="I32" s="19" t="s">
        <v>278</v>
      </c>
      <c r="J32" s="166" t="s">
        <v>424</v>
      </c>
      <c r="K32" s="19" t="s">
        <v>278</v>
      </c>
      <c r="L32" s="11" t="s">
        <v>279</v>
      </c>
      <c r="M32" s="11" t="s">
        <v>279</v>
      </c>
      <c r="N32" s="491" t="s">
        <v>317</v>
      </c>
      <c r="O32" s="54" t="s">
        <v>280</v>
      </c>
      <c r="P32" s="11" t="s">
        <v>286</v>
      </c>
      <c r="Q32" s="19" t="s">
        <v>284</v>
      </c>
      <c r="R32" s="11" t="s">
        <v>279</v>
      </c>
      <c r="S32" s="82" t="s">
        <v>285</v>
      </c>
      <c r="T32" s="173" t="s">
        <v>317</v>
      </c>
      <c r="U32" s="200"/>
      <c r="V32" s="201">
        <v>13</v>
      </c>
      <c r="W32" s="200"/>
      <c r="X32" s="202"/>
      <c r="Y32" s="275">
        <v>15</v>
      </c>
      <c r="Z32" s="243"/>
      <c r="AA32" s="203"/>
      <c r="AB32" s="202"/>
      <c r="AC32" s="205"/>
      <c r="AD32" s="202"/>
      <c r="AE32" s="205">
        <v>14</v>
      </c>
      <c r="AF32" s="206">
        <v>22</v>
      </c>
      <c r="AG32" s="361"/>
      <c r="AH32" s="368"/>
      <c r="AI32" s="374">
        <v>16</v>
      </c>
      <c r="AJ32" s="202"/>
      <c r="AK32" s="205"/>
      <c r="AL32" s="301">
        <v>23</v>
      </c>
      <c r="AM32" s="213"/>
      <c r="AN32" s="307">
        <v>11</v>
      </c>
      <c r="AO32" s="208"/>
      <c r="AP32" s="242"/>
      <c r="AQ32" s="283">
        <v>32</v>
      </c>
      <c r="AR32" s="308">
        <v>21</v>
      </c>
      <c r="AS32" s="378">
        <v>31</v>
      </c>
      <c r="AT32" s="209">
        <v>12</v>
      </c>
      <c r="AU32" s="388">
        <v>35</v>
      </c>
      <c r="AV32" s="405"/>
      <c r="AW32" s="442"/>
      <c r="AX32" s="406">
        <v>33</v>
      </c>
      <c r="AY32" s="447">
        <v>25</v>
      </c>
      <c r="AZ32" s="406"/>
      <c r="BA32" s="457">
        <v>34</v>
      </c>
      <c r="BB32" s="478">
        <v>24</v>
      </c>
      <c r="BC32" s="460"/>
      <c r="BD32" s="411">
        <v>36</v>
      </c>
      <c r="BE32" s="469"/>
      <c r="BF32" s="409">
        <v>26</v>
      </c>
      <c r="BG32" s="1">
        <f t="shared" si="0"/>
        <v>18</v>
      </c>
      <c r="BH32" s="1">
        <f t="shared" si="1"/>
        <v>423</v>
      </c>
    </row>
    <row r="33" spans="1:60" ht="24.95" customHeight="1" thickBot="1" x14ac:dyDescent="0.35">
      <c r="A33" s="541"/>
      <c r="B33" s="57">
        <v>7</v>
      </c>
      <c r="C33" s="52" t="s">
        <v>281</v>
      </c>
      <c r="D33" s="26" t="s">
        <v>283</v>
      </c>
      <c r="E33" s="26" t="s">
        <v>430</v>
      </c>
      <c r="F33" s="26" t="s">
        <v>431</v>
      </c>
      <c r="G33" s="27" t="s">
        <v>435</v>
      </c>
      <c r="H33" s="47" t="s">
        <v>160</v>
      </c>
      <c r="I33" s="19" t="s">
        <v>278</v>
      </c>
      <c r="J33" s="26" t="s">
        <v>422</v>
      </c>
      <c r="K33" s="19" t="s">
        <v>278</v>
      </c>
      <c r="L33" s="34" t="s">
        <v>427</v>
      </c>
      <c r="M33" s="11" t="s">
        <v>426</v>
      </c>
      <c r="N33" s="493" t="s">
        <v>317</v>
      </c>
      <c r="O33" s="71" t="s">
        <v>280</v>
      </c>
      <c r="P33" s="26" t="s">
        <v>286</v>
      </c>
      <c r="Q33" s="354" t="s">
        <v>284</v>
      </c>
      <c r="R33" s="26" t="s">
        <v>279</v>
      </c>
      <c r="S33" s="355" t="s">
        <v>285</v>
      </c>
      <c r="T33" s="356" t="s">
        <v>317</v>
      </c>
      <c r="U33" s="216">
        <v>22</v>
      </c>
      <c r="V33" s="273">
        <v>14</v>
      </c>
      <c r="W33" s="216"/>
      <c r="X33" s="217"/>
      <c r="Y33" s="277"/>
      <c r="Z33" s="265"/>
      <c r="AA33" s="219">
        <v>24</v>
      </c>
      <c r="AB33" s="217">
        <v>15</v>
      </c>
      <c r="AC33" s="221">
        <v>16</v>
      </c>
      <c r="AD33" s="217"/>
      <c r="AE33" s="221"/>
      <c r="AF33" s="218"/>
      <c r="AG33" s="363">
        <v>13</v>
      </c>
      <c r="AH33" s="370"/>
      <c r="AI33" s="376"/>
      <c r="AJ33" s="217"/>
      <c r="AK33" s="221">
        <v>25</v>
      </c>
      <c r="AL33" s="300">
        <v>23</v>
      </c>
      <c r="AM33" s="247"/>
      <c r="AN33" s="222">
        <v>11</v>
      </c>
      <c r="AO33" s="208"/>
      <c r="AP33" s="315"/>
      <c r="AQ33" s="291">
        <v>32</v>
      </c>
      <c r="AR33" s="312">
        <v>21</v>
      </c>
      <c r="AS33" s="385">
        <v>31</v>
      </c>
      <c r="AT33" s="244">
        <v>12</v>
      </c>
      <c r="AU33" s="398">
        <v>35</v>
      </c>
      <c r="AV33" s="413"/>
      <c r="AW33" s="443"/>
      <c r="AX33" s="414">
        <v>33</v>
      </c>
      <c r="AY33" s="454"/>
      <c r="AZ33" s="414"/>
      <c r="BA33" s="448">
        <v>34</v>
      </c>
      <c r="BB33" s="370"/>
      <c r="BC33" s="465"/>
      <c r="BD33" s="437">
        <v>36</v>
      </c>
      <c r="BE33" s="474"/>
      <c r="BF33" s="418">
        <v>26</v>
      </c>
      <c r="BG33" s="1">
        <f t="shared" si="0"/>
        <v>18</v>
      </c>
      <c r="BH33" s="1">
        <f t="shared" si="1"/>
        <v>423</v>
      </c>
    </row>
    <row r="34" spans="1:60" ht="24.95" customHeight="1" x14ac:dyDescent="0.3">
      <c r="A34" s="542" t="s">
        <v>45</v>
      </c>
      <c r="B34" s="73">
        <v>1</v>
      </c>
      <c r="C34" s="53" t="s">
        <v>429</v>
      </c>
      <c r="D34" s="30" t="s">
        <v>435</v>
      </c>
      <c r="E34" s="30" t="s">
        <v>283</v>
      </c>
      <c r="F34" s="30" t="s">
        <v>303</v>
      </c>
      <c r="G34" s="31" t="s">
        <v>437</v>
      </c>
      <c r="H34" s="49" t="s">
        <v>285</v>
      </c>
      <c r="I34" s="33" t="s">
        <v>423</v>
      </c>
      <c r="J34" s="19" t="s">
        <v>420</v>
      </c>
      <c r="K34" s="30" t="s">
        <v>421</v>
      </c>
      <c r="L34" s="30" t="s">
        <v>279</v>
      </c>
      <c r="M34" s="31" t="s">
        <v>426</v>
      </c>
      <c r="N34" s="37" t="s">
        <v>427</v>
      </c>
      <c r="O34" s="72" t="s">
        <v>289</v>
      </c>
      <c r="P34" s="36" t="s">
        <v>287</v>
      </c>
      <c r="Q34" s="30" t="s">
        <v>288</v>
      </c>
      <c r="R34" s="30" t="s">
        <v>279</v>
      </c>
      <c r="S34" s="179" t="s">
        <v>302</v>
      </c>
      <c r="T34" s="176" t="s">
        <v>316</v>
      </c>
      <c r="U34" s="237"/>
      <c r="V34" s="228"/>
      <c r="W34" s="237">
        <v>22</v>
      </c>
      <c r="X34" s="238"/>
      <c r="Y34" s="278"/>
      <c r="Z34" s="267"/>
      <c r="AA34" s="239">
        <v>26</v>
      </c>
      <c r="AB34" s="238">
        <v>12</v>
      </c>
      <c r="AC34" s="240"/>
      <c r="AD34" s="238"/>
      <c r="AE34" s="240">
        <v>11</v>
      </c>
      <c r="AF34" s="476"/>
      <c r="AG34" s="366"/>
      <c r="AH34" s="372"/>
      <c r="AI34" s="377">
        <v>15</v>
      </c>
      <c r="AJ34" s="238">
        <v>21</v>
      </c>
      <c r="AK34" s="240">
        <v>25</v>
      </c>
      <c r="AL34" s="302"/>
      <c r="AM34" s="208"/>
      <c r="AN34" s="306"/>
      <c r="AO34" s="284">
        <v>32</v>
      </c>
      <c r="AP34" s="311"/>
      <c r="AQ34" s="248">
        <v>33</v>
      </c>
      <c r="AR34" s="311"/>
      <c r="AS34" s="378">
        <v>31</v>
      </c>
      <c r="AT34" s="229">
        <v>13</v>
      </c>
      <c r="AU34" s="397">
        <v>23</v>
      </c>
      <c r="AV34" s="432"/>
      <c r="AW34" s="445"/>
      <c r="AX34" s="433"/>
      <c r="AY34" s="455">
        <v>24</v>
      </c>
      <c r="AZ34" s="433">
        <v>34</v>
      </c>
      <c r="BA34" s="455">
        <v>35</v>
      </c>
      <c r="BB34" s="439">
        <v>14</v>
      </c>
      <c r="BC34" s="458">
        <v>16</v>
      </c>
      <c r="BD34" s="403"/>
      <c r="BE34" s="467"/>
      <c r="BF34" s="404">
        <v>36</v>
      </c>
      <c r="BG34" s="1">
        <f t="shared" si="0"/>
        <v>18</v>
      </c>
      <c r="BH34" s="1">
        <f t="shared" si="1"/>
        <v>423</v>
      </c>
    </row>
    <row r="35" spans="1:60" ht="24.95" customHeight="1" x14ac:dyDescent="0.3">
      <c r="A35" s="540"/>
      <c r="B35" s="20">
        <v>2</v>
      </c>
      <c r="C35" s="41" t="s">
        <v>430</v>
      </c>
      <c r="D35" s="11" t="s">
        <v>281</v>
      </c>
      <c r="E35" s="11" t="s">
        <v>283</v>
      </c>
      <c r="F35" s="11" t="s">
        <v>303</v>
      </c>
      <c r="G35" s="12" t="s">
        <v>434</v>
      </c>
      <c r="H35" s="42" t="s">
        <v>285</v>
      </c>
      <c r="I35" s="13" t="s">
        <v>278</v>
      </c>
      <c r="J35" s="11" t="s">
        <v>279</v>
      </c>
      <c r="K35" s="11" t="s">
        <v>421</v>
      </c>
      <c r="L35" s="11" t="s">
        <v>279</v>
      </c>
      <c r="M35" s="12" t="s">
        <v>279</v>
      </c>
      <c r="N35" s="4" t="s">
        <v>425</v>
      </c>
      <c r="O35" s="54" t="s">
        <v>289</v>
      </c>
      <c r="P35" s="11" t="s">
        <v>287</v>
      </c>
      <c r="Q35" s="11" t="s">
        <v>288</v>
      </c>
      <c r="R35" s="11" t="s">
        <v>279</v>
      </c>
      <c r="S35" s="82" t="s">
        <v>280</v>
      </c>
      <c r="T35" s="173" t="s">
        <v>316</v>
      </c>
      <c r="U35" s="200"/>
      <c r="V35" s="201"/>
      <c r="W35" s="200"/>
      <c r="X35" s="202"/>
      <c r="Y35" s="275"/>
      <c r="Z35" s="243"/>
      <c r="AA35" s="203"/>
      <c r="AB35" s="202"/>
      <c r="AC35" s="205">
        <v>15</v>
      </c>
      <c r="AD35" s="202">
        <v>26</v>
      </c>
      <c r="AE35" s="205"/>
      <c r="AF35" s="206"/>
      <c r="AG35" s="361">
        <v>11</v>
      </c>
      <c r="AH35" s="368"/>
      <c r="AI35" s="374"/>
      <c r="AJ35" s="202"/>
      <c r="AK35" s="205"/>
      <c r="AL35" s="297"/>
      <c r="AM35" s="208">
        <v>33</v>
      </c>
      <c r="AN35" s="207">
        <v>12</v>
      </c>
      <c r="AO35" s="283">
        <v>32</v>
      </c>
      <c r="AP35" s="308">
        <v>22</v>
      </c>
      <c r="AQ35" s="283"/>
      <c r="AR35" s="215">
        <v>21</v>
      </c>
      <c r="AS35" s="365">
        <v>31</v>
      </c>
      <c r="AT35" s="209">
        <v>13</v>
      </c>
      <c r="AU35" s="388">
        <v>23</v>
      </c>
      <c r="AV35" s="405"/>
      <c r="AW35" s="442">
        <v>25</v>
      </c>
      <c r="AX35" s="406"/>
      <c r="AY35" s="447">
        <v>24</v>
      </c>
      <c r="AZ35" s="406">
        <v>34</v>
      </c>
      <c r="BA35" s="447">
        <v>35</v>
      </c>
      <c r="BB35" s="407">
        <v>14</v>
      </c>
      <c r="BC35" s="460">
        <v>16</v>
      </c>
      <c r="BD35" s="411"/>
      <c r="BE35" s="469"/>
      <c r="BF35" s="412">
        <v>36</v>
      </c>
      <c r="BG35" s="1">
        <f t="shared" si="0"/>
        <v>18</v>
      </c>
      <c r="BH35" s="1">
        <f t="shared" si="1"/>
        <v>423</v>
      </c>
    </row>
    <row r="36" spans="1:60" ht="24.95" customHeight="1" x14ac:dyDescent="0.3">
      <c r="A36" s="540"/>
      <c r="B36" s="20">
        <v>3</v>
      </c>
      <c r="C36" s="41" t="s">
        <v>437</v>
      </c>
      <c r="D36" s="11" t="s">
        <v>281</v>
      </c>
      <c r="E36" s="11" t="s">
        <v>429</v>
      </c>
      <c r="F36" s="11" t="s">
        <v>431</v>
      </c>
      <c r="G36" s="12" t="s">
        <v>303</v>
      </c>
      <c r="H36" s="42" t="s">
        <v>435</v>
      </c>
      <c r="I36" s="13" t="s">
        <v>278</v>
      </c>
      <c r="J36" s="11" t="s">
        <v>279</v>
      </c>
      <c r="K36" s="11" t="s">
        <v>420</v>
      </c>
      <c r="L36" s="11" t="s">
        <v>279</v>
      </c>
      <c r="M36" s="11" t="s">
        <v>279</v>
      </c>
      <c r="N36" s="489" t="s">
        <v>317</v>
      </c>
      <c r="O36" s="54" t="s">
        <v>289</v>
      </c>
      <c r="P36" s="11" t="s">
        <v>287</v>
      </c>
      <c r="Q36" s="11" t="s">
        <v>288</v>
      </c>
      <c r="R36" s="11" t="s">
        <v>280</v>
      </c>
      <c r="S36" s="82" t="s">
        <v>279</v>
      </c>
      <c r="T36" s="173" t="s">
        <v>319</v>
      </c>
      <c r="U36" s="200"/>
      <c r="V36" s="201">
        <v>14</v>
      </c>
      <c r="W36" s="200">
        <v>23</v>
      </c>
      <c r="X36" s="202"/>
      <c r="Y36" s="275"/>
      <c r="Z36" s="243"/>
      <c r="AA36" s="203"/>
      <c r="AB36" s="202">
        <v>16</v>
      </c>
      <c r="AC36" s="205"/>
      <c r="AD36" s="202"/>
      <c r="AE36" s="205">
        <v>13</v>
      </c>
      <c r="AF36" s="206"/>
      <c r="AG36" s="361"/>
      <c r="AH36" s="368"/>
      <c r="AI36" s="374">
        <v>11</v>
      </c>
      <c r="AJ36" s="202"/>
      <c r="AK36" s="205"/>
      <c r="AL36" s="297"/>
      <c r="AM36" s="208">
        <v>33</v>
      </c>
      <c r="AN36" s="207">
        <v>12</v>
      </c>
      <c r="AO36" s="283">
        <v>32</v>
      </c>
      <c r="AP36" s="215">
        <v>22</v>
      </c>
      <c r="AQ36" s="214"/>
      <c r="AR36" s="215">
        <v>21</v>
      </c>
      <c r="AS36" s="365">
        <v>31</v>
      </c>
      <c r="AT36" s="209"/>
      <c r="AU36" s="388"/>
      <c r="AV36" s="405">
        <v>34</v>
      </c>
      <c r="AW36" s="442">
        <v>25</v>
      </c>
      <c r="AX36" s="406"/>
      <c r="AY36" s="447">
        <v>24</v>
      </c>
      <c r="AZ36" s="406"/>
      <c r="BA36" s="447">
        <v>35</v>
      </c>
      <c r="BB36" s="407">
        <v>15</v>
      </c>
      <c r="BC36" s="460"/>
      <c r="BD36" s="411">
        <v>36</v>
      </c>
      <c r="BE36" s="469">
        <v>26</v>
      </c>
      <c r="BF36" s="412"/>
      <c r="BG36" s="1">
        <f t="shared" si="0"/>
        <v>18</v>
      </c>
      <c r="BH36" s="1">
        <f t="shared" si="1"/>
        <v>423</v>
      </c>
    </row>
    <row r="37" spans="1:60" ht="24.95" customHeight="1" x14ac:dyDescent="0.3">
      <c r="A37" s="540"/>
      <c r="B37" s="20">
        <v>4</v>
      </c>
      <c r="C37" s="78" t="s">
        <v>435</v>
      </c>
      <c r="D37" s="11" t="s">
        <v>281</v>
      </c>
      <c r="E37" s="79" t="s">
        <v>432</v>
      </c>
      <c r="F37" s="104" t="s">
        <v>437</v>
      </c>
      <c r="G37" s="81" t="s">
        <v>303</v>
      </c>
      <c r="H37" s="40" t="s">
        <v>429</v>
      </c>
      <c r="I37" s="13" t="s">
        <v>278</v>
      </c>
      <c r="J37" s="11" t="s">
        <v>279</v>
      </c>
      <c r="K37" s="11" t="s">
        <v>422</v>
      </c>
      <c r="L37" s="11" t="s">
        <v>427</v>
      </c>
      <c r="M37" s="11" t="s">
        <v>313</v>
      </c>
      <c r="N37" s="489" t="s">
        <v>317</v>
      </c>
      <c r="O37" s="54" t="s">
        <v>289</v>
      </c>
      <c r="P37" s="11" t="s">
        <v>286</v>
      </c>
      <c r="Q37" s="11" t="s">
        <v>288</v>
      </c>
      <c r="R37" s="11" t="s">
        <v>280</v>
      </c>
      <c r="S37" s="82" t="s">
        <v>279</v>
      </c>
      <c r="T37" s="173" t="s">
        <v>319</v>
      </c>
      <c r="U37" s="200">
        <v>23</v>
      </c>
      <c r="V37" s="201"/>
      <c r="W37" s="200"/>
      <c r="X37" s="202">
        <v>13</v>
      </c>
      <c r="Y37" s="275"/>
      <c r="Z37" s="243"/>
      <c r="AA37" s="203">
        <v>24</v>
      </c>
      <c r="AB37" s="202">
        <v>11</v>
      </c>
      <c r="AC37" s="205"/>
      <c r="AD37" s="202"/>
      <c r="AE37" s="205">
        <v>16</v>
      </c>
      <c r="AF37" s="206">
        <v>25</v>
      </c>
      <c r="AG37" s="361"/>
      <c r="AH37" s="368"/>
      <c r="AI37" s="374">
        <v>14</v>
      </c>
      <c r="AJ37" s="202"/>
      <c r="AK37" s="205"/>
      <c r="AL37" s="297"/>
      <c r="AM37" s="208">
        <v>33</v>
      </c>
      <c r="AN37" s="207">
        <v>12</v>
      </c>
      <c r="AO37" s="283"/>
      <c r="AP37" s="215">
        <v>22</v>
      </c>
      <c r="AQ37" s="214">
        <v>32</v>
      </c>
      <c r="AR37" s="215">
        <v>21</v>
      </c>
      <c r="AS37" s="365">
        <v>31</v>
      </c>
      <c r="AT37" s="209"/>
      <c r="AU37" s="388"/>
      <c r="AV37" s="405">
        <v>34</v>
      </c>
      <c r="AW37" s="442"/>
      <c r="AX37" s="406"/>
      <c r="AY37" s="447"/>
      <c r="AZ37" s="406"/>
      <c r="BA37" s="447">
        <v>35</v>
      </c>
      <c r="BB37" s="407">
        <v>15</v>
      </c>
      <c r="BC37" s="460"/>
      <c r="BD37" s="411">
        <v>36</v>
      </c>
      <c r="BE37" s="469">
        <v>26</v>
      </c>
      <c r="BF37" s="412"/>
      <c r="BG37" s="1">
        <f t="shared" si="0"/>
        <v>18</v>
      </c>
      <c r="BH37" s="1">
        <f t="shared" si="1"/>
        <v>423</v>
      </c>
    </row>
    <row r="38" spans="1:60" ht="24.95" customHeight="1" x14ac:dyDescent="0.3">
      <c r="A38" s="540"/>
      <c r="B38" s="20">
        <v>5</v>
      </c>
      <c r="C38" s="139" t="s">
        <v>143</v>
      </c>
      <c r="D38" s="140" t="s">
        <v>143</v>
      </c>
      <c r="E38" s="140" t="s">
        <v>143</v>
      </c>
      <c r="F38" s="140" t="s">
        <v>143</v>
      </c>
      <c r="G38" s="141" t="s">
        <v>144</v>
      </c>
      <c r="H38" s="142" t="s">
        <v>143</v>
      </c>
      <c r="I38" s="143" t="s">
        <v>143</v>
      </c>
      <c r="J38" s="140" t="s">
        <v>143</v>
      </c>
      <c r="K38" s="140" t="s">
        <v>143</v>
      </c>
      <c r="L38" s="140" t="s">
        <v>143</v>
      </c>
      <c r="M38" s="141" t="s">
        <v>144</v>
      </c>
      <c r="N38" s="141" t="s">
        <v>143</v>
      </c>
      <c r="O38" s="144" t="s">
        <v>143</v>
      </c>
      <c r="P38" s="140" t="s">
        <v>143</v>
      </c>
      <c r="Q38" s="140" t="s">
        <v>143</v>
      </c>
      <c r="R38" s="140" t="s">
        <v>143</v>
      </c>
      <c r="S38" s="180" t="s">
        <v>143</v>
      </c>
      <c r="T38" s="177" t="s">
        <v>143</v>
      </c>
      <c r="U38" s="200" t="s">
        <v>439</v>
      </c>
      <c r="V38" s="201" t="s">
        <v>439</v>
      </c>
      <c r="W38" s="200" t="s">
        <v>439</v>
      </c>
      <c r="X38" s="202" t="s">
        <v>440</v>
      </c>
      <c r="Y38" s="275" t="s">
        <v>439</v>
      </c>
      <c r="Z38" s="243"/>
      <c r="AA38" s="203" t="s">
        <v>439</v>
      </c>
      <c r="AB38" s="204"/>
      <c r="AC38" s="205" t="s">
        <v>440</v>
      </c>
      <c r="AD38" s="202" t="s">
        <v>440</v>
      </c>
      <c r="AE38" s="205"/>
      <c r="AF38" s="206" t="s">
        <v>439</v>
      </c>
      <c r="AG38" s="361" t="s">
        <v>440</v>
      </c>
      <c r="AH38" s="368"/>
      <c r="AI38" s="374" t="s">
        <v>440</v>
      </c>
      <c r="AJ38" s="202"/>
      <c r="AK38" s="205" t="s">
        <v>440</v>
      </c>
      <c r="AL38" s="301" t="s">
        <v>439</v>
      </c>
      <c r="AM38" s="213"/>
      <c r="AN38" s="210" t="s">
        <v>441</v>
      </c>
      <c r="AO38" s="214" t="s">
        <v>440</v>
      </c>
      <c r="AP38" s="215" t="s">
        <v>440</v>
      </c>
      <c r="AQ38" s="214" t="s">
        <v>440</v>
      </c>
      <c r="AR38" s="215" t="s">
        <v>441</v>
      </c>
      <c r="AS38" s="365" t="s">
        <v>443</v>
      </c>
      <c r="AT38" s="196" t="s">
        <v>439</v>
      </c>
      <c r="AU38" s="399" t="s">
        <v>439</v>
      </c>
      <c r="AV38" s="405" t="s">
        <v>439</v>
      </c>
      <c r="AW38" s="442" t="s">
        <v>440</v>
      </c>
      <c r="AX38" s="406"/>
      <c r="AY38" s="447" t="s">
        <v>439</v>
      </c>
      <c r="AZ38" s="406" t="s">
        <v>440</v>
      </c>
      <c r="BA38" s="447" t="s">
        <v>440</v>
      </c>
      <c r="BB38" s="407"/>
      <c r="BC38" s="459" t="s">
        <v>439</v>
      </c>
      <c r="BD38" s="408" t="s">
        <v>440</v>
      </c>
      <c r="BE38" s="468" t="s">
        <v>440</v>
      </c>
      <c r="BF38" s="412" t="s">
        <v>441</v>
      </c>
      <c r="BG38" s="1">
        <f t="shared" si="0"/>
        <v>30</v>
      </c>
      <c r="BH38" s="1">
        <f t="shared" si="1"/>
        <v>0</v>
      </c>
    </row>
    <row r="39" spans="1:60" ht="24.95" customHeight="1" thickBot="1" x14ac:dyDescent="0.35">
      <c r="A39" s="540"/>
      <c r="B39" s="20">
        <v>6</v>
      </c>
      <c r="C39" s="139" t="s">
        <v>143</v>
      </c>
      <c r="D39" s="140" t="s">
        <v>143</v>
      </c>
      <c r="E39" s="140" t="s">
        <v>143</v>
      </c>
      <c r="F39" s="140" t="s">
        <v>143</v>
      </c>
      <c r="G39" s="141" t="s">
        <v>143</v>
      </c>
      <c r="H39" s="142" t="s">
        <v>143</v>
      </c>
      <c r="I39" s="143" t="s">
        <v>143</v>
      </c>
      <c r="J39" s="143" t="s">
        <v>143</v>
      </c>
      <c r="K39" s="143" t="s">
        <v>143</v>
      </c>
      <c r="L39" s="143" t="s">
        <v>143</v>
      </c>
      <c r="M39" s="143" t="s">
        <v>143</v>
      </c>
      <c r="N39" s="143" t="s">
        <v>143</v>
      </c>
      <c r="O39" s="269" t="s">
        <v>142</v>
      </c>
      <c r="P39" s="270" t="s">
        <v>142</v>
      </c>
      <c r="Q39" s="270" t="s">
        <v>142</v>
      </c>
      <c r="R39" s="270" t="s">
        <v>142</v>
      </c>
      <c r="S39" s="271" t="s">
        <v>142</v>
      </c>
      <c r="T39" s="272" t="s">
        <v>142</v>
      </c>
      <c r="U39" s="200" t="s">
        <v>439</v>
      </c>
      <c r="V39" s="201" t="s">
        <v>439</v>
      </c>
      <c r="W39" s="200" t="s">
        <v>439</v>
      </c>
      <c r="X39" s="210" t="s">
        <v>440</v>
      </c>
      <c r="Y39" s="275" t="s">
        <v>439</v>
      </c>
      <c r="Z39" s="265"/>
      <c r="AA39" s="203" t="s">
        <v>439</v>
      </c>
      <c r="AB39" s="204"/>
      <c r="AC39" s="205" t="s">
        <v>440</v>
      </c>
      <c r="AD39" s="202" t="s">
        <v>440</v>
      </c>
      <c r="AE39" s="205"/>
      <c r="AF39" s="218" t="s">
        <v>439</v>
      </c>
      <c r="AG39" s="363" t="s">
        <v>440</v>
      </c>
      <c r="AH39" s="370"/>
      <c r="AI39" s="376" t="s">
        <v>440</v>
      </c>
      <c r="AJ39" s="202"/>
      <c r="AK39" s="205" t="s">
        <v>440</v>
      </c>
      <c r="AL39" s="303" t="s">
        <v>439</v>
      </c>
      <c r="AM39" s="223"/>
      <c r="AN39" s="225" t="s">
        <v>441</v>
      </c>
      <c r="AO39" s="223" t="s">
        <v>442</v>
      </c>
      <c r="AP39" s="225" t="s">
        <v>440</v>
      </c>
      <c r="AQ39" s="235" t="s">
        <v>442</v>
      </c>
      <c r="AR39" s="227" t="s">
        <v>441</v>
      </c>
      <c r="AS39" s="384" t="s">
        <v>443</v>
      </c>
      <c r="AT39" s="359" t="s">
        <v>439</v>
      </c>
      <c r="AU39" s="387" t="s">
        <v>439</v>
      </c>
      <c r="AV39" s="405" t="s">
        <v>439</v>
      </c>
      <c r="AW39" s="442" t="s">
        <v>440</v>
      </c>
      <c r="AX39" s="406"/>
      <c r="AY39" s="447" t="s">
        <v>439</v>
      </c>
      <c r="AZ39" s="406" t="s">
        <v>442</v>
      </c>
      <c r="BA39" s="447" t="s">
        <v>442</v>
      </c>
      <c r="BB39" s="407"/>
      <c r="BC39" s="466" t="s">
        <v>439</v>
      </c>
      <c r="BD39" s="440" t="s">
        <v>442</v>
      </c>
      <c r="BE39" s="475" t="s">
        <v>440</v>
      </c>
      <c r="BF39" s="438" t="s">
        <v>441</v>
      </c>
      <c r="BG39" s="1">
        <f t="shared" si="0"/>
        <v>30</v>
      </c>
      <c r="BH39" s="1">
        <f t="shared" si="1"/>
        <v>0</v>
      </c>
    </row>
    <row r="40" spans="1:60" ht="15" customHeight="1" x14ac:dyDescent="0.3">
      <c r="A40" s="500" t="s">
        <v>147</v>
      </c>
      <c r="B40" s="503" t="s">
        <v>146</v>
      </c>
      <c r="C40" s="514" t="s">
        <v>0</v>
      </c>
      <c r="D40" s="515"/>
      <c r="E40" s="515"/>
      <c r="F40" s="515"/>
      <c r="G40" s="515"/>
      <c r="H40" s="516"/>
      <c r="I40" s="515" t="s">
        <v>29</v>
      </c>
      <c r="J40" s="515"/>
      <c r="K40" s="515"/>
      <c r="L40" s="515"/>
      <c r="M40" s="515"/>
      <c r="N40" s="515"/>
      <c r="O40" s="517" t="s">
        <v>1</v>
      </c>
      <c r="P40" s="518"/>
      <c r="Q40" s="518"/>
      <c r="R40" s="518"/>
      <c r="S40" s="518"/>
      <c r="T40" s="519"/>
      <c r="U40" s="526" t="s">
        <v>2</v>
      </c>
      <c r="V40" s="527"/>
      <c r="W40" s="525" t="s">
        <v>3</v>
      </c>
      <c r="X40" s="526"/>
      <c r="Y40" s="525" t="s">
        <v>4</v>
      </c>
      <c r="Z40" s="526"/>
      <c r="AA40" s="527"/>
      <c r="AB40" s="44" t="s">
        <v>5</v>
      </c>
      <c r="AC40" s="145" t="s">
        <v>6</v>
      </c>
      <c r="AD40" s="44" t="s">
        <v>68</v>
      </c>
      <c r="AE40" s="145" t="s">
        <v>7</v>
      </c>
      <c r="AF40" s="525" t="s">
        <v>8</v>
      </c>
      <c r="AG40" s="526"/>
      <c r="AH40" s="527"/>
      <c r="AI40" s="145" t="s">
        <v>221</v>
      </c>
      <c r="AJ40" s="44" t="s">
        <v>10</v>
      </c>
      <c r="AK40" s="145" t="s">
        <v>11</v>
      </c>
      <c r="AL40" s="525" t="s">
        <v>12</v>
      </c>
      <c r="AM40" s="526"/>
      <c r="AN40" s="526"/>
      <c r="AO40" s="526"/>
      <c r="AP40" s="526"/>
      <c r="AQ40" s="526"/>
      <c r="AR40" s="526"/>
      <c r="AS40" s="543"/>
      <c r="AT40" s="543"/>
      <c r="AU40" s="527"/>
      <c r="AV40" s="525" t="s">
        <v>64</v>
      </c>
      <c r="AW40" s="526"/>
      <c r="AX40" s="526"/>
      <c r="AY40" s="526"/>
      <c r="AZ40" s="526"/>
      <c r="BA40" s="526"/>
      <c r="BB40" s="527"/>
      <c r="BC40" s="546" t="s">
        <v>205</v>
      </c>
      <c r="BD40" s="547"/>
      <c r="BE40" s="547"/>
      <c r="BF40" s="548"/>
    </row>
    <row r="41" spans="1:60" ht="15" customHeight="1" x14ac:dyDescent="0.3">
      <c r="A41" s="501"/>
      <c r="B41" s="504"/>
      <c r="C41" s="496" t="s">
        <v>71</v>
      </c>
      <c r="D41" s="499"/>
      <c r="E41" s="497"/>
      <c r="F41" s="498" t="s">
        <v>73</v>
      </c>
      <c r="G41" s="497"/>
      <c r="H41" s="120" t="s">
        <v>72</v>
      </c>
      <c r="I41" s="496" t="s">
        <v>71</v>
      </c>
      <c r="J41" s="497"/>
      <c r="K41" s="163" t="s">
        <v>70</v>
      </c>
      <c r="L41" s="498" t="s">
        <v>73</v>
      </c>
      <c r="M41" s="499"/>
      <c r="N41" s="257" t="s">
        <v>72</v>
      </c>
      <c r="O41" s="555" t="s">
        <v>71</v>
      </c>
      <c r="P41" s="521"/>
      <c r="Q41" s="258" t="s">
        <v>70</v>
      </c>
      <c r="R41" s="520" t="s">
        <v>73</v>
      </c>
      <c r="S41" s="521"/>
      <c r="T41" s="259" t="s">
        <v>203</v>
      </c>
      <c r="U41" s="6" t="s">
        <v>13</v>
      </c>
      <c r="V41" s="45" t="s">
        <v>44</v>
      </c>
      <c r="W41" s="50" t="s">
        <v>24</v>
      </c>
      <c r="X41" s="84" t="s">
        <v>265</v>
      </c>
      <c r="Y41" s="50" t="s">
        <v>25</v>
      </c>
      <c r="Z41" s="84" t="s">
        <v>320</v>
      </c>
      <c r="AA41" s="45" t="s">
        <v>153</v>
      </c>
      <c r="AB41" s="84" t="s">
        <v>25</v>
      </c>
      <c r="AC41" s="146" t="s">
        <v>26</v>
      </c>
      <c r="AD41" s="84" t="s">
        <v>25</v>
      </c>
      <c r="AE41" s="146" t="s">
        <v>25</v>
      </c>
      <c r="AF41" s="96" t="s">
        <v>138</v>
      </c>
      <c r="AG41" s="87" t="s">
        <v>25</v>
      </c>
      <c r="AH41" s="358" t="s">
        <v>25</v>
      </c>
      <c r="AI41" s="146" t="s">
        <v>271</v>
      </c>
      <c r="AJ41" s="84" t="s">
        <v>16</v>
      </c>
      <c r="AK41" s="146" t="s">
        <v>50</v>
      </c>
      <c r="AL41" s="50" t="s">
        <v>57</v>
      </c>
      <c r="AM41" s="5" t="s">
        <v>26</v>
      </c>
      <c r="AN41" s="5" t="s">
        <v>54</v>
      </c>
      <c r="AO41" s="5" t="s">
        <v>60</v>
      </c>
      <c r="AP41" s="5" t="s">
        <v>26</v>
      </c>
      <c r="AQ41" s="85" t="s">
        <v>268</v>
      </c>
      <c r="AR41" s="148" t="s">
        <v>271</v>
      </c>
      <c r="AS41" s="122" t="s">
        <v>272</v>
      </c>
      <c r="AT41" s="122" t="s">
        <v>275</v>
      </c>
      <c r="AU41" s="122" t="s">
        <v>309</v>
      </c>
      <c r="AV41" s="96" t="s">
        <v>25</v>
      </c>
      <c r="AW41" s="148" t="s">
        <v>26</v>
      </c>
      <c r="AX41" s="87" t="s">
        <v>26</v>
      </c>
      <c r="AY41" s="87" t="s">
        <v>291</v>
      </c>
      <c r="AZ41" s="87" t="s">
        <v>294</v>
      </c>
      <c r="BA41" s="87" t="s">
        <v>297</v>
      </c>
      <c r="BB41" s="90" t="s">
        <v>299</v>
      </c>
      <c r="BC41" s="127" t="s">
        <v>25</v>
      </c>
      <c r="BD41" s="135" t="s">
        <v>25</v>
      </c>
      <c r="BE41" s="134" t="s">
        <v>213</v>
      </c>
      <c r="BF41" s="125" t="s">
        <v>306</v>
      </c>
    </row>
    <row r="42" spans="1:60" ht="15" customHeight="1" x14ac:dyDescent="0.3">
      <c r="A42" s="501"/>
      <c r="B42" s="504"/>
      <c r="C42" s="506" t="s">
        <v>33</v>
      </c>
      <c r="D42" s="508" t="s">
        <v>18</v>
      </c>
      <c r="E42" s="508" t="s">
        <v>19</v>
      </c>
      <c r="F42" s="508" t="s">
        <v>69</v>
      </c>
      <c r="G42" s="508">
        <v>15</v>
      </c>
      <c r="H42" s="553">
        <v>16</v>
      </c>
      <c r="I42" s="506" t="s">
        <v>34</v>
      </c>
      <c r="J42" s="508" t="s">
        <v>35</v>
      </c>
      <c r="K42" s="508" t="s">
        <v>20</v>
      </c>
      <c r="L42" s="508" t="s">
        <v>102</v>
      </c>
      <c r="M42" s="508" t="s">
        <v>103</v>
      </c>
      <c r="N42" s="556" t="s">
        <v>104</v>
      </c>
      <c r="O42" s="506" t="s">
        <v>36</v>
      </c>
      <c r="P42" s="508" t="s">
        <v>37</v>
      </c>
      <c r="Q42" s="508" t="s">
        <v>21</v>
      </c>
      <c r="R42" s="508" t="s">
        <v>22</v>
      </c>
      <c r="S42" s="508" t="s">
        <v>201</v>
      </c>
      <c r="T42" s="553" t="s">
        <v>202</v>
      </c>
      <c r="U42" s="10" t="s">
        <v>38</v>
      </c>
      <c r="V42" s="46" t="s">
        <v>48</v>
      </c>
      <c r="W42" s="131" t="s">
        <v>30</v>
      </c>
      <c r="X42" s="132" t="s">
        <v>266</v>
      </c>
      <c r="Y42" s="131" t="s">
        <v>31</v>
      </c>
      <c r="Z42" s="184" t="s">
        <v>32</v>
      </c>
      <c r="AA42" s="46" t="s">
        <v>154</v>
      </c>
      <c r="AB42" s="132" t="s">
        <v>140</v>
      </c>
      <c r="AC42" s="147" t="s">
        <v>156</v>
      </c>
      <c r="AD42" s="132" t="s">
        <v>97</v>
      </c>
      <c r="AE42" s="147" t="s">
        <v>52</v>
      </c>
      <c r="AF42" s="97" t="s">
        <v>52</v>
      </c>
      <c r="AG42" s="88" t="s">
        <v>134</v>
      </c>
      <c r="AH42" s="124" t="s">
        <v>312</v>
      </c>
      <c r="AI42" s="147" t="s">
        <v>304</v>
      </c>
      <c r="AJ42" s="132" t="s">
        <v>15</v>
      </c>
      <c r="AK42" s="147" t="s">
        <v>55</v>
      </c>
      <c r="AL42" s="349" t="s">
        <v>40</v>
      </c>
      <c r="AM42" s="9" t="s">
        <v>59</v>
      </c>
      <c r="AN42" s="9" t="s">
        <v>55</v>
      </c>
      <c r="AO42" s="9" t="s">
        <v>32</v>
      </c>
      <c r="AP42" s="9" t="s">
        <v>66</v>
      </c>
      <c r="AQ42" s="86" t="s">
        <v>269</v>
      </c>
      <c r="AR42" s="136" t="s">
        <v>52</v>
      </c>
      <c r="AS42" s="123" t="s">
        <v>273</v>
      </c>
      <c r="AT42" s="123" t="s">
        <v>276</v>
      </c>
      <c r="AU42" s="123" t="s">
        <v>308</v>
      </c>
      <c r="AV42" s="97" t="s">
        <v>63</v>
      </c>
      <c r="AW42" s="136" t="s">
        <v>138</v>
      </c>
      <c r="AX42" s="88" t="s">
        <v>219</v>
      </c>
      <c r="AY42" s="88" t="s">
        <v>292</v>
      </c>
      <c r="AZ42" s="88" t="s">
        <v>295</v>
      </c>
      <c r="BA42" s="88" t="s">
        <v>268</v>
      </c>
      <c r="BB42" s="91" t="s">
        <v>300</v>
      </c>
      <c r="BC42" s="97" t="s">
        <v>106</v>
      </c>
      <c r="BD42" s="136" t="s">
        <v>106</v>
      </c>
      <c r="BE42" s="88" t="s">
        <v>214</v>
      </c>
      <c r="BF42" s="124" t="s">
        <v>307</v>
      </c>
    </row>
    <row r="43" spans="1:60" ht="15" customHeight="1" thickBot="1" x14ac:dyDescent="0.35">
      <c r="A43" s="502"/>
      <c r="B43" s="505"/>
      <c r="C43" s="507"/>
      <c r="D43" s="509"/>
      <c r="E43" s="509"/>
      <c r="F43" s="509"/>
      <c r="G43" s="509"/>
      <c r="H43" s="554"/>
      <c r="I43" s="507"/>
      <c r="J43" s="509"/>
      <c r="K43" s="509"/>
      <c r="L43" s="509"/>
      <c r="M43" s="509"/>
      <c r="N43" s="557"/>
      <c r="O43" s="507"/>
      <c r="P43" s="509"/>
      <c r="Q43" s="509"/>
      <c r="R43" s="509"/>
      <c r="S43" s="509"/>
      <c r="T43" s="554"/>
      <c r="U43" s="268" t="s">
        <v>14</v>
      </c>
      <c r="V43" s="249" t="s">
        <v>49</v>
      </c>
      <c r="W43" s="186" t="s">
        <v>38</v>
      </c>
      <c r="X43" s="249" t="s">
        <v>267</v>
      </c>
      <c r="Y43" s="186" t="s">
        <v>39</v>
      </c>
      <c r="Z43" s="263" t="s">
        <v>154</v>
      </c>
      <c r="AA43" s="249" t="s">
        <v>32</v>
      </c>
      <c r="AB43" s="250" t="s">
        <v>137</v>
      </c>
      <c r="AC43" s="250" t="s">
        <v>48</v>
      </c>
      <c r="AD43" s="250" t="s">
        <v>98</v>
      </c>
      <c r="AE43" s="250" t="s">
        <v>53</v>
      </c>
      <c r="AF43" s="251" t="s">
        <v>152</v>
      </c>
      <c r="AG43" s="329" t="s">
        <v>48</v>
      </c>
      <c r="AH43" s="252" t="s">
        <v>220</v>
      </c>
      <c r="AI43" s="250" t="s">
        <v>305</v>
      </c>
      <c r="AJ43" s="252" t="s">
        <v>17</v>
      </c>
      <c r="AK43" s="250" t="s">
        <v>141</v>
      </c>
      <c r="AL43" s="350" t="s">
        <v>58</v>
      </c>
      <c r="AM43" s="254" t="s">
        <v>42</v>
      </c>
      <c r="AN43" s="254" t="s">
        <v>56</v>
      </c>
      <c r="AO43" s="254" t="s">
        <v>61</v>
      </c>
      <c r="AP43" s="254" t="s">
        <v>41</v>
      </c>
      <c r="AQ43" s="256" t="s">
        <v>270</v>
      </c>
      <c r="AR43" s="255" t="s">
        <v>62</v>
      </c>
      <c r="AS43" s="328" t="s">
        <v>274</v>
      </c>
      <c r="AT43" s="329" t="s">
        <v>277</v>
      </c>
      <c r="AU43" s="252" t="s">
        <v>315</v>
      </c>
      <c r="AV43" s="251" t="s">
        <v>39</v>
      </c>
      <c r="AW43" s="255" t="s">
        <v>139</v>
      </c>
      <c r="AX43" s="329" t="s">
        <v>220</v>
      </c>
      <c r="AY43" s="329" t="s">
        <v>293</v>
      </c>
      <c r="AZ43" s="329" t="s">
        <v>296</v>
      </c>
      <c r="BA43" s="329" t="s">
        <v>298</v>
      </c>
      <c r="BB43" s="253" t="s">
        <v>301</v>
      </c>
      <c r="BC43" s="97" t="s">
        <v>136</v>
      </c>
      <c r="BD43" s="136" t="s">
        <v>135</v>
      </c>
      <c r="BE43" s="88" t="s">
        <v>215</v>
      </c>
      <c r="BF43" s="124" t="s">
        <v>308</v>
      </c>
    </row>
    <row r="44" spans="1:60" ht="19.899999999999999" customHeight="1" thickBot="1" x14ac:dyDescent="0.35">
      <c r="A44" s="510" t="s">
        <v>145</v>
      </c>
      <c r="B44" s="511"/>
      <c r="C44" s="511"/>
      <c r="D44" s="511"/>
      <c r="E44" s="511"/>
      <c r="F44" s="511"/>
      <c r="G44" s="511"/>
      <c r="H44" s="511"/>
      <c r="I44" s="511"/>
      <c r="J44" s="511"/>
      <c r="K44" s="511"/>
      <c r="L44" s="511"/>
      <c r="M44" s="511"/>
      <c r="N44" s="511"/>
      <c r="O44" s="512"/>
      <c r="P44" s="512"/>
      <c r="Q44" s="512"/>
      <c r="R44" s="512"/>
      <c r="S44" s="512"/>
      <c r="T44" s="513"/>
      <c r="U44" s="260">
        <v>12</v>
      </c>
      <c r="V44" s="260">
        <v>15</v>
      </c>
      <c r="W44" s="260">
        <v>12</v>
      </c>
      <c r="X44" s="260">
        <v>15</v>
      </c>
      <c r="Y44" s="260">
        <v>10</v>
      </c>
      <c r="Z44" s="260">
        <v>5</v>
      </c>
      <c r="AA44" s="260">
        <v>12</v>
      </c>
      <c r="AB44" s="260">
        <v>18</v>
      </c>
      <c r="AC44" s="260">
        <v>15</v>
      </c>
      <c r="AD44" s="260">
        <v>12</v>
      </c>
      <c r="AE44" s="260">
        <v>18</v>
      </c>
      <c r="AF44" s="260">
        <v>10</v>
      </c>
      <c r="AG44" s="260">
        <v>12</v>
      </c>
      <c r="AH44" s="260">
        <v>8</v>
      </c>
      <c r="AI44" s="260">
        <v>18</v>
      </c>
      <c r="AJ44" s="260">
        <v>12</v>
      </c>
      <c r="AK44" s="260">
        <v>12</v>
      </c>
      <c r="AL44" s="327">
        <v>12</v>
      </c>
      <c r="AM44" s="327">
        <v>15</v>
      </c>
      <c r="AN44" s="327">
        <v>17</v>
      </c>
      <c r="AO44" s="327">
        <v>16</v>
      </c>
      <c r="AP44" s="327">
        <v>16</v>
      </c>
      <c r="AQ44" s="327">
        <v>19</v>
      </c>
      <c r="AR44" s="327">
        <v>17</v>
      </c>
      <c r="AS44" s="327">
        <v>18</v>
      </c>
      <c r="AT44" s="327">
        <v>15</v>
      </c>
      <c r="AU44" s="327">
        <v>14</v>
      </c>
      <c r="AV44" s="327">
        <v>15</v>
      </c>
      <c r="AW44" s="327">
        <v>16</v>
      </c>
      <c r="AX44" s="327">
        <v>12</v>
      </c>
      <c r="AY44" s="327">
        <v>16</v>
      </c>
      <c r="AZ44" s="327">
        <v>15</v>
      </c>
      <c r="BA44" s="327">
        <v>16</v>
      </c>
      <c r="BB44" s="327">
        <v>18</v>
      </c>
      <c r="BC44" s="260">
        <v>12</v>
      </c>
      <c r="BD44" s="260">
        <v>14</v>
      </c>
      <c r="BE44" s="260">
        <v>14</v>
      </c>
      <c r="BF44" s="260">
        <v>17</v>
      </c>
    </row>
    <row r="45" spans="1:60" s="3" customFormat="1" ht="24.95" customHeight="1" thickBot="1" x14ac:dyDescent="0.35">
      <c r="A45" s="494" t="s">
        <v>149</v>
      </c>
      <c r="B45" s="495"/>
      <c r="C45" s="167">
        <v>32</v>
      </c>
      <c r="D45" s="168">
        <v>32</v>
      </c>
      <c r="E45" s="168">
        <v>32</v>
      </c>
      <c r="F45" s="168">
        <v>32</v>
      </c>
      <c r="G45" s="168">
        <v>32</v>
      </c>
      <c r="H45" s="169">
        <v>32</v>
      </c>
      <c r="I45" s="167">
        <v>32</v>
      </c>
      <c r="J45" s="168">
        <v>32</v>
      </c>
      <c r="K45" s="168">
        <v>32</v>
      </c>
      <c r="L45" s="168">
        <v>32</v>
      </c>
      <c r="M45" s="168">
        <v>32</v>
      </c>
      <c r="N45" s="169">
        <v>32</v>
      </c>
      <c r="O45" s="167">
        <v>32</v>
      </c>
      <c r="P45" s="168">
        <v>32</v>
      </c>
      <c r="Q45" s="168">
        <v>32</v>
      </c>
      <c r="R45" s="168">
        <v>32</v>
      </c>
      <c r="S45" s="168">
        <v>32</v>
      </c>
      <c r="T45" s="169">
        <v>32</v>
      </c>
      <c r="U45" s="260">
        <f>COUNTA(U7:U38)</f>
        <v>13</v>
      </c>
      <c r="V45" s="260">
        <f>COUNTA(V7:V38)</f>
        <v>16</v>
      </c>
      <c r="W45" s="260">
        <f>COUNTA(W7:W38)</f>
        <v>13</v>
      </c>
      <c r="X45" s="260">
        <v>17</v>
      </c>
      <c r="Y45" s="260">
        <f>COUNTA(Y7:Y38)</f>
        <v>11</v>
      </c>
      <c r="Z45" s="260">
        <f>COUNTA(Z7:Z38)</f>
        <v>5</v>
      </c>
      <c r="AA45" s="260">
        <f>COUNTA(AA7:AA38)</f>
        <v>13</v>
      </c>
      <c r="AB45" s="260">
        <f>COUNTA(AB7:AB38)</f>
        <v>18</v>
      </c>
      <c r="AC45" s="260">
        <v>17</v>
      </c>
      <c r="AD45" s="260">
        <v>14</v>
      </c>
      <c r="AE45" s="260">
        <f>COUNTA(AE7:AE38)</f>
        <v>18</v>
      </c>
      <c r="AF45" s="260">
        <f>COUNTA(AF7:AF38)</f>
        <v>11</v>
      </c>
      <c r="AG45" s="260">
        <v>14</v>
      </c>
      <c r="AH45" s="260">
        <f>COUNTA(AH7:AH38)</f>
        <v>8</v>
      </c>
      <c r="AI45" s="260">
        <v>20</v>
      </c>
      <c r="AJ45" s="260">
        <f>COUNTA(AJ7:AJ38)</f>
        <v>12</v>
      </c>
      <c r="AK45" s="260">
        <v>14</v>
      </c>
      <c r="AL45" s="260">
        <f>COUNTA(AL7:AL38)</f>
        <v>13</v>
      </c>
      <c r="AM45" s="260">
        <f>COUNTA(AM7:AM38)</f>
        <v>15</v>
      </c>
      <c r="AN45" s="260">
        <f>COUNTA(AN7:AN38)</f>
        <v>18</v>
      </c>
      <c r="AO45" s="260">
        <v>18</v>
      </c>
      <c r="AP45" s="260">
        <v>18</v>
      </c>
      <c r="AQ45" s="260">
        <v>21</v>
      </c>
      <c r="AR45" s="260">
        <v>18</v>
      </c>
      <c r="AS45" s="260">
        <f>COUNTA(AS7:AS38)</f>
        <v>19</v>
      </c>
      <c r="AT45" s="260">
        <f>COUNTA(AT7:AT38)</f>
        <v>16</v>
      </c>
      <c r="AU45" s="260">
        <f>COUNTA(AU7:AU38)</f>
        <v>15</v>
      </c>
      <c r="AV45" s="260">
        <f>COUNTA(AV7:AV38)</f>
        <v>16</v>
      </c>
      <c r="AW45" s="260">
        <v>18</v>
      </c>
      <c r="AX45" s="260">
        <f>COUNTA(AX7:AX38)</f>
        <v>12</v>
      </c>
      <c r="AY45" s="260">
        <f>COUNTA(AY7:AY38)</f>
        <v>17</v>
      </c>
      <c r="AZ45" s="260">
        <v>17</v>
      </c>
      <c r="BA45" s="260">
        <v>18</v>
      </c>
      <c r="BB45" s="260">
        <f>COUNTA(BB7:BB38)</f>
        <v>18</v>
      </c>
      <c r="BC45" s="260">
        <f>COUNTA(BC7:BC38)</f>
        <v>13</v>
      </c>
      <c r="BD45" s="260">
        <v>16</v>
      </c>
      <c r="BE45" s="260">
        <v>16</v>
      </c>
      <c r="BF45" s="260">
        <f>COUNTA(BF7:BF38)</f>
        <v>18</v>
      </c>
    </row>
    <row r="47" spans="1:60" x14ac:dyDescent="0.3">
      <c r="U47" s="1" t="s">
        <v>210</v>
      </c>
      <c r="AA47" s="1" t="s">
        <v>206</v>
      </c>
    </row>
    <row r="48" spans="1:60" x14ac:dyDescent="0.3">
      <c r="U48" s="1" t="s">
        <v>211</v>
      </c>
      <c r="AA48" s="1" t="s">
        <v>207</v>
      </c>
    </row>
    <row r="49" spans="21:27" x14ac:dyDescent="0.3">
      <c r="U49" s="1" t="s">
        <v>212</v>
      </c>
      <c r="AA49" s="1" t="s">
        <v>208</v>
      </c>
    </row>
    <row r="50" spans="21:27" x14ac:dyDescent="0.3">
      <c r="AA50" s="274" t="s">
        <v>209</v>
      </c>
    </row>
  </sheetData>
  <mergeCells count="68">
    <mergeCell ref="R42:R43"/>
    <mergeCell ref="T42:T43"/>
    <mergeCell ref="Q42:Q43"/>
    <mergeCell ref="C4:E4"/>
    <mergeCell ref="C41:E41"/>
    <mergeCell ref="F41:G41"/>
    <mergeCell ref="O41:P41"/>
    <mergeCell ref="N42:N43"/>
    <mergeCell ref="O42:O43"/>
    <mergeCell ref="P42:P43"/>
    <mergeCell ref="M42:M43"/>
    <mergeCell ref="H42:H43"/>
    <mergeCell ref="I42:I43"/>
    <mergeCell ref="J42:J43"/>
    <mergeCell ref="O4:P4"/>
    <mergeCell ref="F4:G4"/>
    <mergeCell ref="W40:X40"/>
    <mergeCell ref="Y40:AA40"/>
    <mergeCell ref="AF40:AH40"/>
    <mergeCell ref="I7:N7"/>
    <mergeCell ref="O7:T7"/>
    <mergeCell ref="U40:V40"/>
    <mergeCell ref="AL40:AU40"/>
    <mergeCell ref="BG3:BG6"/>
    <mergeCell ref="BH3:BH6"/>
    <mergeCell ref="BC40:BF40"/>
    <mergeCell ref="AV40:BB40"/>
    <mergeCell ref="AV3:BB3"/>
    <mergeCell ref="BC3:BF3"/>
    <mergeCell ref="AL3:AU3"/>
    <mergeCell ref="A13:A19"/>
    <mergeCell ref="A20:A26"/>
    <mergeCell ref="A27:A33"/>
    <mergeCell ref="K42:K43"/>
    <mergeCell ref="L42:L43"/>
    <mergeCell ref="A34:A39"/>
    <mergeCell ref="C3:H3"/>
    <mergeCell ref="C7:H7"/>
    <mergeCell ref="AF3:AH3"/>
    <mergeCell ref="A1:T1"/>
    <mergeCell ref="A7:A12"/>
    <mergeCell ref="I3:N3"/>
    <mergeCell ref="O3:T3"/>
    <mergeCell ref="I4:J4"/>
    <mergeCell ref="L4:M4"/>
    <mergeCell ref="Y3:AA3"/>
    <mergeCell ref="R4:S4"/>
    <mergeCell ref="R5:S5"/>
    <mergeCell ref="A3:A6"/>
    <mergeCell ref="B3:B6"/>
    <mergeCell ref="U3:V3"/>
    <mergeCell ref="W3:X3"/>
    <mergeCell ref="A45:B45"/>
    <mergeCell ref="I41:J41"/>
    <mergeCell ref="L41:M41"/>
    <mergeCell ref="A40:A43"/>
    <mergeCell ref="B40:B43"/>
    <mergeCell ref="C42:C43"/>
    <mergeCell ref="D42:D43"/>
    <mergeCell ref="E42:E43"/>
    <mergeCell ref="F42:F43"/>
    <mergeCell ref="G42:G43"/>
    <mergeCell ref="A44:T44"/>
    <mergeCell ref="C40:H40"/>
    <mergeCell ref="I40:N40"/>
    <mergeCell ref="O40:T40"/>
    <mergeCell ref="S42:S43"/>
    <mergeCell ref="R41:S41"/>
  </mergeCells>
  <phoneticPr fontId="1" type="noConversion"/>
  <printOptions horizontalCentered="1" verticalCentered="1"/>
  <pageMargins left="0" right="0" top="0" bottom="0" header="0.31496062992125984" footer="0.31496062992125984"/>
  <pageSetup paperSize="12" scale="5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861E-56B9-41D7-AF76-77DB9DC2229C}">
  <sheetPr>
    <pageSetUpPr fitToPage="1"/>
  </sheetPr>
  <dimension ref="A1:AB87"/>
  <sheetViews>
    <sheetView zoomScale="70" zoomScaleNormal="70" workbookViewId="0">
      <selection activeCell="X3" sqref="X3"/>
    </sheetView>
  </sheetViews>
  <sheetFormatPr defaultRowHeight="16.5" x14ac:dyDescent="0.3"/>
  <cols>
    <col min="1" max="20" width="5.125" customWidth="1"/>
    <col min="22" max="22" width="22.75" customWidth="1"/>
    <col min="24" max="24" width="39.625" customWidth="1"/>
    <col min="25" max="25" width="19.875" customWidth="1"/>
    <col min="26" max="26" width="26.75" customWidth="1"/>
    <col min="27" max="27" width="14.5" customWidth="1"/>
    <col min="28" max="28" width="64.375" customWidth="1"/>
  </cols>
  <sheetData>
    <row r="1" spans="1:28" ht="24.95" customHeight="1" x14ac:dyDescent="0.3">
      <c r="A1" s="528" t="s">
        <v>452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</row>
    <row r="2" spans="1:28" ht="24.95" customHeight="1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8" ht="24.95" customHeight="1" x14ac:dyDescent="0.3">
      <c r="A3" s="534" t="s">
        <v>27</v>
      </c>
      <c r="B3" s="537" t="s">
        <v>28</v>
      </c>
      <c r="C3" s="514" t="s">
        <v>0</v>
      </c>
      <c r="D3" s="515"/>
      <c r="E3" s="515"/>
      <c r="F3" s="515"/>
      <c r="G3" s="515"/>
      <c r="H3" s="516"/>
      <c r="I3" s="515" t="s">
        <v>29</v>
      </c>
      <c r="J3" s="515"/>
      <c r="K3" s="515"/>
      <c r="L3" s="515"/>
      <c r="M3" s="515"/>
      <c r="N3" s="515"/>
      <c r="O3" s="517" t="s">
        <v>1</v>
      </c>
      <c r="P3" s="518"/>
      <c r="Q3" s="518"/>
      <c r="R3" s="518"/>
      <c r="S3" s="518"/>
      <c r="T3" s="519"/>
    </row>
    <row r="4" spans="1:28" ht="24.95" customHeight="1" x14ac:dyDescent="0.3">
      <c r="A4" s="535"/>
      <c r="B4" s="538"/>
      <c r="C4" s="496" t="s">
        <v>71</v>
      </c>
      <c r="D4" s="499"/>
      <c r="E4" s="497"/>
      <c r="F4" s="498" t="s">
        <v>73</v>
      </c>
      <c r="G4" s="497"/>
      <c r="H4" s="120" t="s">
        <v>72</v>
      </c>
      <c r="I4" s="496" t="s">
        <v>71</v>
      </c>
      <c r="J4" s="497"/>
      <c r="K4" s="479" t="s">
        <v>70</v>
      </c>
      <c r="L4" s="498" t="s">
        <v>73</v>
      </c>
      <c r="M4" s="499"/>
      <c r="N4" s="185" t="s">
        <v>72</v>
      </c>
      <c r="O4" s="496" t="s">
        <v>71</v>
      </c>
      <c r="P4" s="497"/>
      <c r="Q4" s="482" t="s">
        <v>70</v>
      </c>
      <c r="R4" s="520" t="s">
        <v>73</v>
      </c>
      <c r="S4" s="521"/>
      <c r="T4" s="261" t="s">
        <v>72</v>
      </c>
    </row>
    <row r="5" spans="1:28" ht="24.95" customHeight="1" x14ac:dyDescent="0.3">
      <c r="A5" s="535"/>
      <c r="B5" s="538"/>
      <c r="C5" s="74"/>
      <c r="D5" s="164"/>
      <c r="E5" s="481"/>
      <c r="F5" s="164"/>
      <c r="G5" s="164"/>
      <c r="H5" s="106"/>
      <c r="I5" s="7"/>
      <c r="J5" s="121"/>
      <c r="K5" s="8"/>
      <c r="L5" s="105"/>
      <c r="M5" s="7"/>
      <c r="N5" s="119"/>
      <c r="O5" s="69"/>
      <c r="P5" s="7"/>
      <c r="Q5" s="138"/>
      <c r="R5" s="532"/>
      <c r="S5" s="533"/>
      <c r="T5" s="181"/>
      <c r="V5" s="322" t="s">
        <v>216</v>
      </c>
    </row>
    <row r="6" spans="1:28" ht="24.95" customHeight="1" thickBot="1" x14ac:dyDescent="0.35">
      <c r="A6" s="536"/>
      <c r="B6" s="539"/>
      <c r="C6" s="75" t="s">
        <v>33</v>
      </c>
      <c r="D6" s="43" t="s">
        <v>18</v>
      </c>
      <c r="E6" s="43" t="s">
        <v>19</v>
      </c>
      <c r="F6" s="43" t="s">
        <v>69</v>
      </c>
      <c r="G6" s="43">
        <v>15</v>
      </c>
      <c r="H6" s="76">
        <v>16</v>
      </c>
      <c r="I6" s="151" t="s">
        <v>34</v>
      </c>
      <c r="J6" s="152" t="s">
        <v>35</v>
      </c>
      <c r="K6" s="152" t="s">
        <v>20</v>
      </c>
      <c r="L6" s="152" t="s">
        <v>102</v>
      </c>
      <c r="M6" s="153" t="s">
        <v>103</v>
      </c>
      <c r="N6" s="153" t="s">
        <v>104</v>
      </c>
      <c r="O6" s="154" t="s">
        <v>36</v>
      </c>
      <c r="P6" s="152" t="s">
        <v>37</v>
      </c>
      <c r="Q6" s="155" t="s">
        <v>21</v>
      </c>
      <c r="R6" s="43" t="s">
        <v>22</v>
      </c>
      <c r="S6" s="152" t="s">
        <v>23</v>
      </c>
      <c r="T6" s="171" t="s">
        <v>150</v>
      </c>
      <c r="V6" s="112" t="s">
        <v>74</v>
      </c>
      <c r="W6" s="112" t="s">
        <v>75</v>
      </c>
      <c r="X6" s="112" t="s">
        <v>76</v>
      </c>
      <c r="Y6" s="112" t="s">
        <v>77</v>
      </c>
      <c r="Z6" s="112" t="s">
        <v>78</v>
      </c>
      <c r="AA6" s="112" t="s">
        <v>79</v>
      </c>
      <c r="AB6" s="112" t="s">
        <v>96</v>
      </c>
    </row>
    <row r="7" spans="1:28" ht="24.95" customHeight="1" thickTop="1" x14ac:dyDescent="0.3">
      <c r="A7" s="530" t="s">
        <v>46</v>
      </c>
      <c r="B7" s="150">
        <v>1</v>
      </c>
      <c r="C7" s="522" t="s">
        <v>217</v>
      </c>
      <c r="D7" s="523"/>
      <c r="E7" s="523"/>
      <c r="F7" s="523"/>
      <c r="G7" s="523"/>
      <c r="H7" s="524"/>
      <c r="I7" s="522" t="s">
        <v>217</v>
      </c>
      <c r="J7" s="523"/>
      <c r="K7" s="523"/>
      <c r="L7" s="523"/>
      <c r="M7" s="523"/>
      <c r="N7" s="524"/>
      <c r="O7" s="522" t="s">
        <v>217</v>
      </c>
      <c r="P7" s="523"/>
      <c r="Q7" s="523"/>
      <c r="R7" s="523"/>
      <c r="S7" s="523"/>
      <c r="T7" s="524"/>
      <c r="V7" s="323" t="s">
        <v>67</v>
      </c>
      <c r="W7" s="323">
        <v>2</v>
      </c>
      <c r="X7" s="323" t="s">
        <v>92</v>
      </c>
      <c r="Y7" s="323" t="s">
        <v>108</v>
      </c>
      <c r="Z7" s="323" t="s">
        <v>321</v>
      </c>
      <c r="AA7" s="323" t="s">
        <v>224</v>
      </c>
      <c r="AB7" s="323" t="s">
        <v>323</v>
      </c>
    </row>
    <row r="8" spans="1:28" ht="24.95" customHeight="1" x14ac:dyDescent="0.3">
      <c r="A8" s="530"/>
      <c r="B8" s="38">
        <v>2</v>
      </c>
      <c r="C8" s="41" t="s">
        <v>429</v>
      </c>
      <c r="D8" s="80" t="s">
        <v>427</v>
      </c>
      <c r="E8" s="80" t="s">
        <v>435</v>
      </c>
      <c r="F8" s="81" t="s">
        <v>420</v>
      </c>
      <c r="G8" s="95" t="s">
        <v>431</v>
      </c>
      <c r="H8" s="40" t="s">
        <v>431</v>
      </c>
      <c r="I8" s="13" t="s">
        <v>278</v>
      </c>
      <c r="J8" s="11" t="s">
        <v>421</v>
      </c>
      <c r="K8" s="11" t="s">
        <v>313</v>
      </c>
      <c r="L8" s="11" t="s">
        <v>221</v>
      </c>
      <c r="M8" s="12" t="s">
        <v>279</v>
      </c>
      <c r="N8" s="12" t="s">
        <v>430</v>
      </c>
      <c r="O8" s="54" t="s">
        <v>278</v>
      </c>
      <c r="P8" s="11" t="s">
        <v>280</v>
      </c>
      <c r="Q8" s="11" t="s">
        <v>278</v>
      </c>
      <c r="R8" s="11" t="s">
        <v>290</v>
      </c>
      <c r="S8" s="11" t="s">
        <v>290</v>
      </c>
      <c r="T8" s="173" t="s">
        <v>318</v>
      </c>
      <c r="V8" s="323" t="s">
        <v>67</v>
      </c>
      <c r="W8" s="323">
        <v>1</v>
      </c>
      <c r="X8" s="323" t="s">
        <v>222</v>
      </c>
      <c r="Y8" s="323" t="s">
        <v>223</v>
      </c>
      <c r="Z8" s="323" t="s">
        <v>322</v>
      </c>
      <c r="AA8" s="323" t="s">
        <v>224</v>
      </c>
      <c r="AB8" s="323" t="s">
        <v>324</v>
      </c>
    </row>
    <row r="9" spans="1:28" ht="24.95" customHeight="1" x14ac:dyDescent="0.3">
      <c r="A9" s="530"/>
      <c r="B9" s="38">
        <v>3</v>
      </c>
      <c r="C9" s="41" t="s">
        <v>430</v>
      </c>
      <c r="D9" s="11" t="s">
        <v>429</v>
      </c>
      <c r="E9" s="11" t="s">
        <v>431</v>
      </c>
      <c r="F9" s="11" t="s">
        <v>282</v>
      </c>
      <c r="G9" s="12" t="s">
        <v>435</v>
      </c>
      <c r="H9" s="42" t="s">
        <v>420</v>
      </c>
      <c r="I9" s="13" t="s">
        <v>278</v>
      </c>
      <c r="J9" s="11" t="s">
        <v>421</v>
      </c>
      <c r="K9" s="11" t="s">
        <v>67</v>
      </c>
      <c r="L9" s="11" t="s">
        <v>279</v>
      </c>
      <c r="M9" s="12" t="s">
        <v>221</v>
      </c>
      <c r="N9" s="12" t="s">
        <v>430</v>
      </c>
      <c r="O9" s="54" t="s">
        <v>278</v>
      </c>
      <c r="P9" s="11" t="s">
        <v>280</v>
      </c>
      <c r="Q9" s="11" t="s">
        <v>278</v>
      </c>
      <c r="R9" s="11" t="s">
        <v>290</v>
      </c>
      <c r="S9" s="11" t="s">
        <v>290</v>
      </c>
      <c r="T9" s="173" t="s">
        <v>318</v>
      </c>
      <c r="V9" s="323"/>
      <c r="W9" s="323">
        <f>SUM(W5:W8)</f>
        <v>3</v>
      </c>
      <c r="X9" s="323"/>
      <c r="Y9" s="323"/>
      <c r="Z9" s="323"/>
      <c r="AA9" s="323"/>
      <c r="AB9" s="323"/>
    </row>
    <row r="10" spans="1:28" ht="24.95" customHeight="1" x14ac:dyDescent="0.3">
      <c r="A10" s="530"/>
      <c r="B10" s="38">
        <v>4</v>
      </c>
      <c r="C10" s="41" t="s">
        <v>282</v>
      </c>
      <c r="D10" s="11" t="s">
        <v>420</v>
      </c>
      <c r="E10" s="11" t="s">
        <v>427</v>
      </c>
      <c r="F10" s="11" t="s">
        <v>282</v>
      </c>
      <c r="G10" s="12" t="s">
        <v>160</v>
      </c>
      <c r="H10" s="42" t="s">
        <v>285</v>
      </c>
      <c r="I10" s="13" t="s">
        <v>278</v>
      </c>
      <c r="J10" s="11" t="s">
        <v>280</v>
      </c>
      <c r="K10" s="11" t="s">
        <v>67</v>
      </c>
      <c r="L10" s="11" t="s">
        <v>279</v>
      </c>
      <c r="M10" s="12" t="s">
        <v>313</v>
      </c>
      <c r="N10" s="12" t="s">
        <v>426</v>
      </c>
      <c r="O10" s="54" t="s">
        <v>278</v>
      </c>
      <c r="P10" s="11" t="s">
        <v>280</v>
      </c>
      <c r="Q10" s="11" t="s">
        <v>278</v>
      </c>
      <c r="R10" s="11" t="s">
        <v>290</v>
      </c>
      <c r="S10" s="11" t="s">
        <v>290</v>
      </c>
      <c r="T10" s="173" t="s">
        <v>318</v>
      </c>
      <c r="V10" s="113" t="s">
        <v>67</v>
      </c>
      <c r="W10" s="114">
        <v>3</v>
      </c>
      <c r="X10" s="324" t="s">
        <v>92</v>
      </c>
      <c r="Y10" s="331" t="s">
        <v>108</v>
      </c>
      <c r="Z10" s="114" t="s">
        <v>325</v>
      </c>
      <c r="AA10" s="114" t="s">
        <v>81</v>
      </c>
      <c r="AB10" s="114" t="s">
        <v>330</v>
      </c>
    </row>
    <row r="11" spans="1:28" ht="24.95" customHeight="1" x14ac:dyDescent="0.3">
      <c r="A11" s="530"/>
      <c r="B11" s="38">
        <v>5</v>
      </c>
      <c r="C11" s="41" t="s">
        <v>420</v>
      </c>
      <c r="D11" s="11" t="s">
        <v>282</v>
      </c>
      <c r="E11" s="11" t="s">
        <v>429</v>
      </c>
      <c r="F11" s="11" t="s">
        <v>427</v>
      </c>
      <c r="G11" s="11" t="s">
        <v>282</v>
      </c>
      <c r="H11" s="42" t="s">
        <v>285</v>
      </c>
      <c r="I11" s="11" t="s">
        <v>420</v>
      </c>
      <c r="J11" s="11" t="s">
        <v>280</v>
      </c>
      <c r="K11" s="11" t="s">
        <v>422</v>
      </c>
      <c r="L11" s="11" t="s">
        <v>279</v>
      </c>
      <c r="M11" s="11" t="s">
        <v>279</v>
      </c>
      <c r="N11" s="11" t="s">
        <v>426</v>
      </c>
      <c r="O11" s="54" t="s">
        <v>285</v>
      </c>
      <c r="P11" s="11" t="s">
        <v>284</v>
      </c>
      <c r="Q11" s="11" t="s">
        <v>280</v>
      </c>
      <c r="R11" s="11" t="s">
        <v>280</v>
      </c>
      <c r="S11" s="82" t="s">
        <v>314</v>
      </c>
      <c r="T11" s="173" t="s">
        <v>318</v>
      </c>
      <c r="V11" s="113" t="s">
        <v>67</v>
      </c>
      <c r="W11" s="114">
        <v>1</v>
      </c>
      <c r="X11" s="324" t="s">
        <v>225</v>
      </c>
      <c r="Y11" s="332" t="s">
        <v>223</v>
      </c>
      <c r="Z11" s="114" t="s">
        <v>326</v>
      </c>
      <c r="AA11" s="114" t="s">
        <v>81</v>
      </c>
      <c r="AB11" s="114" t="s">
        <v>331</v>
      </c>
    </row>
    <row r="12" spans="1:28" ht="24.95" customHeight="1" thickBot="1" x14ac:dyDescent="0.35">
      <c r="A12" s="531"/>
      <c r="B12" s="39">
        <v>6</v>
      </c>
      <c r="C12" s="58" t="s">
        <v>160</v>
      </c>
      <c r="D12" s="59" t="s">
        <v>435</v>
      </c>
      <c r="E12" s="59" t="s">
        <v>282</v>
      </c>
      <c r="F12" s="59" t="s">
        <v>160</v>
      </c>
      <c r="G12" s="98" t="s">
        <v>282</v>
      </c>
      <c r="H12" s="60" t="s">
        <v>427</v>
      </c>
      <c r="I12" s="28" t="s">
        <v>422</v>
      </c>
      <c r="J12" s="26" t="s">
        <v>280</v>
      </c>
      <c r="K12" s="26" t="s">
        <v>420</v>
      </c>
      <c r="L12" s="26" t="s">
        <v>279</v>
      </c>
      <c r="M12" s="27" t="s">
        <v>279</v>
      </c>
      <c r="N12" s="27" t="s">
        <v>221</v>
      </c>
      <c r="O12" s="52" t="s">
        <v>285</v>
      </c>
      <c r="P12" s="26" t="s">
        <v>284</v>
      </c>
      <c r="Q12" s="11" t="s">
        <v>280</v>
      </c>
      <c r="R12" s="35" t="s">
        <v>280</v>
      </c>
      <c r="S12" s="178" t="s">
        <v>280</v>
      </c>
      <c r="T12" s="174" t="s">
        <v>314</v>
      </c>
      <c r="V12" s="113" t="s">
        <v>83</v>
      </c>
      <c r="W12" s="114">
        <v>4</v>
      </c>
      <c r="X12" s="333" t="s">
        <v>167</v>
      </c>
      <c r="Y12" s="334" t="s">
        <v>226</v>
      </c>
      <c r="Z12" s="114" t="s">
        <v>327</v>
      </c>
      <c r="AA12" s="114" t="s">
        <v>81</v>
      </c>
      <c r="AB12" s="114" t="s">
        <v>332</v>
      </c>
    </row>
    <row r="13" spans="1:28" ht="24.95" customHeight="1" x14ac:dyDescent="0.3">
      <c r="A13" s="540" t="s">
        <v>43</v>
      </c>
      <c r="B13" s="56">
        <v>1</v>
      </c>
      <c r="C13" s="61" t="s">
        <v>427</v>
      </c>
      <c r="D13" s="62" t="s">
        <v>160</v>
      </c>
      <c r="E13" s="62" t="s">
        <v>221</v>
      </c>
      <c r="F13" s="62" t="s">
        <v>431</v>
      </c>
      <c r="G13" s="62" t="s">
        <v>420</v>
      </c>
      <c r="H13" s="63" t="s">
        <v>435</v>
      </c>
      <c r="I13" s="25" t="s">
        <v>421</v>
      </c>
      <c r="J13" s="19" t="s">
        <v>420</v>
      </c>
      <c r="K13" s="19" t="s">
        <v>313</v>
      </c>
      <c r="L13" s="19" t="s">
        <v>279</v>
      </c>
      <c r="M13" s="21" t="s">
        <v>427</v>
      </c>
      <c r="N13" s="21" t="s">
        <v>68</v>
      </c>
      <c r="O13" s="70" t="s">
        <v>278</v>
      </c>
      <c r="P13" s="19" t="s">
        <v>280</v>
      </c>
      <c r="Q13" s="351" t="s">
        <v>278</v>
      </c>
      <c r="R13" s="19" t="s">
        <v>290</v>
      </c>
      <c r="S13" s="83" t="s">
        <v>290</v>
      </c>
      <c r="T13" s="172" t="s">
        <v>316</v>
      </c>
      <c r="V13" s="113" t="s">
        <v>83</v>
      </c>
      <c r="W13" s="114">
        <v>5</v>
      </c>
      <c r="X13" s="335" t="s">
        <v>227</v>
      </c>
      <c r="Y13" s="114" t="s">
        <v>120</v>
      </c>
      <c r="Z13" s="114" t="s">
        <v>328</v>
      </c>
      <c r="AA13" s="114" t="s">
        <v>81</v>
      </c>
      <c r="AB13" s="114" t="s">
        <v>333</v>
      </c>
    </row>
    <row r="14" spans="1:28" ht="24.95" customHeight="1" x14ac:dyDescent="0.3">
      <c r="A14" s="540"/>
      <c r="B14" s="20">
        <v>2</v>
      </c>
      <c r="C14" s="64" t="s">
        <v>420</v>
      </c>
      <c r="D14" s="23" t="s">
        <v>431</v>
      </c>
      <c r="E14" s="23" t="s">
        <v>430</v>
      </c>
      <c r="F14" s="23" t="s">
        <v>429</v>
      </c>
      <c r="G14" s="23" t="s">
        <v>435</v>
      </c>
      <c r="H14" s="65" t="s">
        <v>221</v>
      </c>
      <c r="I14" s="108" t="s">
        <v>421</v>
      </c>
      <c r="J14" s="11" t="s">
        <v>279</v>
      </c>
      <c r="K14" s="11" t="s">
        <v>67</v>
      </c>
      <c r="L14" s="11" t="s">
        <v>426</v>
      </c>
      <c r="M14" s="12" t="s">
        <v>279</v>
      </c>
      <c r="N14" s="12" t="s">
        <v>427</v>
      </c>
      <c r="O14" s="70" t="s">
        <v>278</v>
      </c>
      <c r="P14" s="21" t="s">
        <v>280</v>
      </c>
      <c r="Q14" s="22" t="s">
        <v>278</v>
      </c>
      <c r="R14" s="13" t="s">
        <v>290</v>
      </c>
      <c r="S14" s="83" t="s">
        <v>290</v>
      </c>
      <c r="T14" s="172" t="s">
        <v>316</v>
      </c>
      <c r="V14" s="113" t="s">
        <v>83</v>
      </c>
      <c r="W14" s="114">
        <v>2</v>
      </c>
      <c r="X14" s="336" t="s">
        <v>113</v>
      </c>
      <c r="Y14" s="114" t="s">
        <v>107</v>
      </c>
      <c r="Z14" s="114" t="s">
        <v>329</v>
      </c>
      <c r="AA14" s="114" t="s">
        <v>81</v>
      </c>
      <c r="AB14" s="114" t="s">
        <v>334</v>
      </c>
    </row>
    <row r="15" spans="1:28" ht="24.95" customHeight="1" x14ac:dyDescent="0.3">
      <c r="A15" s="540"/>
      <c r="B15" s="20">
        <v>3</v>
      </c>
      <c r="C15" s="64" t="s">
        <v>160</v>
      </c>
      <c r="D15" s="23" t="s">
        <v>427</v>
      </c>
      <c r="E15" s="23" t="s">
        <v>160</v>
      </c>
      <c r="F15" s="23" t="s">
        <v>303</v>
      </c>
      <c r="G15" s="23" t="s">
        <v>429</v>
      </c>
      <c r="H15" s="65" t="s">
        <v>302</v>
      </c>
      <c r="I15" s="13" t="s">
        <v>313</v>
      </c>
      <c r="J15" s="109" t="s">
        <v>279</v>
      </c>
      <c r="K15" s="11" t="s">
        <v>67</v>
      </c>
      <c r="L15" s="11" t="s">
        <v>426</v>
      </c>
      <c r="M15" s="12" t="s">
        <v>279</v>
      </c>
      <c r="N15" s="12" t="s">
        <v>317</v>
      </c>
      <c r="O15" s="70" t="s">
        <v>278</v>
      </c>
      <c r="P15" s="21" t="s">
        <v>280</v>
      </c>
      <c r="Q15" s="22" t="s">
        <v>278</v>
      </c>
      <c r="R15" s="13" t="s">
        <v>290</v>
      </c>
      <c r="S15" s="82" t="s">
        <v>290</v>
      </c>
      <c r="T15" s="173" t="s">
        <v>284</v>
      </c>
      <c r="V15" s="113" t="s">
        <v>83</v>
      </c>
      <c r="W15" s="114">
        <v>2</v>
      </c>
      <c r="X15" s="336" t="s">
        <v>228</v>
      </c>
      <c r="Y15" s="337" t="s">
        <v>229</v>
      </c>
      <c r="Z15" s="114" t="s">
        <v>329</v>
      </c>
      <c r="AA15" s="114" t="s">
        <v>81</v>
      </c>
      <c r="AB15" s="114" t="s">
        <v>335</v>
      </c>
    </row>
    <row r="16" spans="1:28" ht="24.95" customHeight="1" x14ac:dyDescent="0.3">
      <c r="A16" s="540"/>
      <c r="B16" s="20">
        <v>4</v>
      </c>
      <c r="C16" s="64" t="s">
        <v>435</v>
      </c>
      <c r="D16" s="23" t="s">
        <v>430</v>
      </c>
      <c r="E16" s="23" t="s">
        <v>282</v>
      </c>
      <c r="F16" s="23" t="s">
        <v>303</v>
      </c>
      <c r="G16" s="23" t="s">
        <v>427</v>
      </c>
      <c r="H16" s="65" t="s">
        <v>427</v>
      </c>
      <c r="I16" s="13" t="s">
        <v>420</v>
      </c>
      <c r="J16" s="11" t="s">
        <v>279</v>
      </c>
      <c r="K16" s="109" t="s">
        <v>302</v>
      </c>
      <c r="L16" s="11" t="s">
        <v>68</v>
      </c>
      <c r="M16" s="12" t="s">
        <v>279</v>
      </c>
      <c r="N16" s="12" t="s">
        <v>317</v>
      </c>
      <c r="O16" s="107" t="s">
        <v>302</v>
      </c>
      <c r="P16" s="11" t="s">
        <v>302</v>
      </c>
      <c r="Q16" s="19" t="s">
        <v>278</v>
      </c>
      <c r="R16" s="11" t="s">
        <v>279</v>
      </c>
      <c r="S16" s="82" t="s">
        <v>279</v>
      </c>
      <c r="T16" s="173" t="s">
        <v>284</v>
      </c>
      <c r="V16" s="113"/>
      <c r="W16" s="324">
        <f>SUM(W10:W15)</f>
        <v>17</v>
      </c>
      <c r="X16" s="114"/>
      <c r="Y16" s="114"/>
      <c r="Z16" s="114"/>
      <c r="AA16" s="114"/>
      <c r="AB16" s="114"/>
    </row>
    <row r="17" spans="1:28" ht="24.95" customHeight="1" x14ac:dyDescent="0.3">
      <c r="A17" s="540"/>
      <c r="B17" s="20">
        <v>5</v>
      </c>
      <c r="C17" s="64" t="s">
        <v>282</v>
      </c>
      <c r="D17" s="23" t="s">
        <v>420</v>
      </c>
      <c r="E17" s="23" t="s">
        <v>67</v>
      </c>
      <c r="F17" s="23" t="s">
        <v>160</v>
      </c>
      <c r="G17" s="99" t="s">
        <v>431</v>
      </c>
      <c r="H17" s="65" t="s">
        <v>429</v>
      </c>
      <c r="I17" s="13" t="s">
        <v>278</v>
      </c>
      <c r="J17" s="11" t="s">
        <v>422</v>
      </c>
      <c r="K17" s="11" t="s">
        <v>420</v>
      </c>
      <c r="L17" s="16" t="s">
        <v>221</v>
      </c>
      <c r="M17" s="118" t="s">
        <v>68</v>
      </c>
      <c r="N17" s="21" t="s">
        <v>317</v>
      </c>
      <c r="O17" s="107" t="s">
        <v>280</v>
      </c>
      <c r="P17" s="11" t="s">
        <v>286</v>
      </c>
      <c r="Q17" s="11" t="s">
        <v>280</v>
      </c>
      <c r="R17" s="11" t="s">
        <v>280</v>
      </c>
      <c r="S17" s="82" t="s">
        <v>279</v>
      </c>
      <c r="T17" s="175" t="s">
        <v>316</v>
      </c>
      <c r="V17" s="113" t="s">
        <v>67</v>
      </c>
      <c r="W17" s="114">
        <v>3</v>
      </c>
      <c r="X17" s="338" t="s">
        <v>92</v>
      </c>
      <c r="Y17" s="113" t="s">
        <v>108</v>
      </c>
      <c r="Z17" s="114" t="s">
        <v>336</v>
      </c>
      <c r="AA17" s="114" t="s">
        <v>85</v>
      </c>
      <c r="AB17" s="114" t="s">
        <v>337</v>
      </c>
    </row>
    <row r="18" spans="1:28" ht="24.95" customHeight="1" x14ac:dyDescent="0.3">
      <c r="A18" s="540"/>
      <c r="B18" s="20">
        <v>6</v>
      </c>
      <c r="C18" s="64" t="s">
        <v>431</v>
      </c>
      <c r="D18" s="23" t="s">
        <v>282</v>
      </c>
      <c r="E18" s="23" t="s">
        <v>67</v>
      </c>
      <c r="F18" s="23" t="s">
        <v>302</v>
      </c>
      <c r="G18" s="99" t="s">
        <v>303</v>
      </c>
      <c r="H18" s="65" t="s">
        <v>160</v>
      </c>
      <c r="I18" s="13" t="s">
        <v>278</v>
      </c>
      <c r="J18" s="11" t="s">
        <v>280</v>
      </c>
      <c r="K18" s="11" t="s">
        <v>421</v>
      </c>
      <c r="L18" s="11" t="s">
        <v>279</v>
      </c>
      <c r="M18" s="11" t="s">
        <v>426</v>
      </c>
      <c r="N18" s="12" t="s">
        <v>317</v>
      </c>
      <c r="O18" s="107" t="s">
        <v>284</v>
      </c>
      <c r="P18" s="11" t="s">
        <v>285</v>
      </c>
      <c r="Q18" s="11" t="s">
        <v>280</v>
      </c>
      <c r="R18" s="11" t="s">
        <v>280</v>
      </c>
      <c r="S18" s="82" t="s">
        <v>279</v>
      </c>
      <c r="T18" s="173" t="s">
        <v>319</v>
      </c>
      <c r="V18" s="113" t="s">
        <v>67</v>
      </c>
      <c r="W18" s="114">
        <v>1</v>
      </c>
      <c r="X18" s="339" t="s">
        <v>225</v>
      </c>
      <c r="Y18" s="337" t="s">
        <v>223</v>
      </c>
      <c r="Z18" s="114" t="s">
        <v>322</v>
      </c>
      <c r="AA18" s="114" t="s">
        <v>85</v>
      </c>
      <c r="AB18" s="114" t="s">
        <v>338</v>
      </c>
    </row>
    <row r="19" spans="1:28" ht="24.95" customHeight="1" thickBot="1" x14ac:dyDescent="0.35">
      <c r="A19" s="541"/>
      <c r="B19" s="57">
        <v>7</v>
      </c>
      <c r="C19" s="66" t="s">
        <v>302</v>
      </c>
      <c r="D19" s="67" t="s">
        <v>429</v>
      </c>
      <c r="E19" s="24" t="s">
        <v>67</v>
      </c>
      <c r="F19" s="67" t="s">
        <v>435</v>
      </c>
      <c r="G19" s="100" t="s">
        <v>303</v>
      </c>
      <c r="H19" s="68" t="s">
        <v>431</v>
      </c>
      <c r="I19" s="13" t="s">
        <v>278</v>
      </c>
      <c r="J19" s="26" t="s">
        <v>280</v>
      </c>
      <c r="K19" s="26" t="s">
        <v>421</v>
      </c>
      <c r="L19" s="26" t="s">
        <v>279</v>
      </c>
      <c r="M19" s="11" t="s">
        <v>426</v>
      </c>
      <c r="N19" s="12" t="s">
        <v>221</v>
      </c>
      <c r="O19" s="107" t="s">
        <v>284</v>
      </c>
      <c r="P19" s="11" t="s">
        <v>285</v>
      </c>
      <c r="Q19" s="26" t="s">
        <v>280</v>
      </c>
      <c r="R19" s="11" t="s">
        <v>302</v>
      </c>
      <c r="S19" s="82" t="s">
        <v>279</v>
      </c>
      <c r="T19" s="173" t="s">
        <v>319</v>
      </c>
      <c r="V19" s="113" t="s">
        <v>88</v>
      </c>
      <c r="W19" s="114">
        <v>4</v>
      </c>
      <c r="X19" s="340" t="s">
        <v>110</v>
      </c>
      <c r="Y19" s="113" t="s">
        <v>108</v>
      </c>
      <c r="Z19" s="114" t="s">
        <v>339</v>
      </c>
      <c r="AA19" s="114" t="s">
        <v>85</v>
      </c>
      <c r="AB19" s="114" t="s">
        <v>453</v>
      </c>
    </row>
    <row r="20" spans="1:28" ht="24.95" customHeight="1" x14ac:dyDescent="0.3">
      <c r="A20" s="542" t="s">
        <v>41</v>
      </c>
      <c r="B20" s="73">
        <v>1</v>
      </c>
      <c r="C20" s="51" t="s">
        <v>283</v>
      </c>
      <c r="D20" s="19" t="s">
        <v>435</v>
      </c>
      <c r="E20" s="19" t="s">
        <v>221</v>
      </c>
      <c r="F20" s="19" t="s">
        <v>430</v>
      </c>
      <c r="G20" s="21" t="s">
        <v>420</v>
      </c>
      <c r="H20" s="48" t="s">
        <v>160</v>
      </c>
      <c r="I20" s="33" t="s">
        <v>421</v>
      </c>
      <c r="J20" s="110" t="s">
        <v>280</v>
      </c>
      <c r="K20" s="351" t="s">
        <v>278</v>
      </c>
      <c r="L20" s="30" t="s">
        <v>426</v>
      </c>
      <c r="M20" s="31" t="s">
        <v>279</v>
      </c>
      <c r="N20" s="31" t="s">
        <v>317</v>
      </c>
      <c r="O20" s="72" t="s">
        <v>278</v>
      </c>
      <c r="P20" s="30" t="s">
        <v>280</v>
      </c>
      <c r="Q20" s="30" t="s">
        <v>278</v>
      </c>
      <c r="R20" s="32" t="s">
        <v>290</v>
      </c>
      <c r="S20" s="179" t="s">
        <v>290</v>
      </c>
      <c r="T20" s="176" t="s">
        <v>317</v>
      </c>
      <c r="V20" s="113" t="s">
        <v>88</v>
      </c>
      <c r="W20" s="114">
        <v>2</v>
      </c>
      <c r="X20" s="338" t="s">
        <v>230</v>
      </c>
      <c r="Y20" s="113" t="s">
        <v>231</v>
      </c>
      <c r="Z20" s="114" t="s">
        <v>340</v>
      </c>
      <c r="AA20" s="114" t="s">
        <v>85</v>
      </c>
      <c r="AB20" s="114" t="s">
        <v>335</v>
      </c>
    </row>
    <row r="21" spans="1:28" ht="24.95" customHeight="1" x14ac:dyDescent="0.3">
      <c r="A21" s="540"/>
      <c r="B21" s="20">
        <v>2</v>
      </c>
      <c r="C21" s="41" t="s">
        <v>283</v>
      </c>
      <c r="D21" s="11" t="s">
        <v>420</v>
      </c>
      <c r="E21" s="11" t="s">
        <v>431</v>
      </c>
      <c r="F21" s="11" t="s">
        <v>160</v>
      </c>
      <c r="G21" s="12" t="s">
        <v>427</v>
      </c>
      <c r="H21" s="42" t="s">
        <v>430</v>
      </c>
      <c r="I21" s="165" t="s">
        <v>421</v>
      </c>
      <c r="J21" s="357" t="s">
        <v>280</v>
      </c>
      <c r="K21" s="22" t="s">
        <v>278</v>
      </c>
      <c r="L21" s="13" t="s">
        <v>68</v>
      </c>
      <c r="M21" s="12" t="s">
        <v>279</v>
      </c>
      <c r="N21" s="12" t="s">
        <v>317</v>
      </c>
      <c r="O21" s="54" t="s">
        <v>278</v>
      </c>
      <c r="P21" s="11" t="s">
        <v>280</v>
      </c>
      <c r="Q21" s="11" t="s">
        <v>278</v>
      </c>
      <c r="R21" s="11" t="s">
        <v>290</v>
      </c>
      <c r="S21" s="11" t="s">
        <v>290</v>
      </c>
      <c r="T21" s="173" t="s">
        <v>317</v>
      </c>
      <c r="V21" s="113" t="s">
        <v>82</v>
      </c>
      <c r="W21" s="114">
        <v>4</v>
      </c>
      <c r="X21" s="341" t="s">
        <v>232</v>
      </c>
      <c r="Y21" s="113" t="s">
        <v>112</v>
      </c>
      <c r="Z21" s="114" t="s">
        <v>341</v>
      </c>
      <c r="AA21" s="114" t="s">
        <v>85</v>
      </c>
      <c r="AB21" s="114" t="s">
        <v>456</v>
      </c>
    </row>
    <row r="22" spans="1:28" ht="24.95" customHeight="1" x14ac:dyDescent="0.3">
      <c r="A22" s="540"/>
      <c r="B22" s="20">
        <v>3</v>
      </c>
      <c r="C22" s="41" t="s">
        <v>429</v>
      </c>
      <c r="D22" s="11" t="s">
        <v>221</v>
      </c>
      <c r="E22" s="11" t="s">
        <v>435</v>
      </c>
      <c r="F22" s="11" t="s">
        <v>427</v>
      </c>
      <c r="G22" s="12" t="s">
        <v>302</v>
      </c>
      <c r="H22" s="42" t="s">
        <v>420</v>
      </c>
      <c r="I22" s="108" t="s">
        <v>422</v>
      </c>
      <c r="J22" s="11" t="s">
        <v>67</v>
      </c>
      <c r="K22" s="19" t="s">
        <v>278</v>
      </c>
      <c r="L22" s="11" t="s">
        <v>313</v>
      </c>
      <c r="M22" s="12" t="s">
        <v>279</v>
      </c>
      <c r="N22" s="12" t="s">
        <v>317</v>
      </c>
      <c r="O22" s="54" t="s">
        <v>278</v>
      </c>
      <c r="P22" s="11" t="s">
        <v>280</v>
      </c>
      <c r="Q22" s="11" t="s">
        <v>278</v>
      </c>
      <c r="R22" s="11" t="s">
        <v>290</v>
      </c>
      <c r="S22" s="11" t="s">
        <v>290</v>
      </c>
      <c r="T22" s="173" t="s">
        <v>317</v>
      </c>
      <c r="V22" s="113" t="s">
        <v>82</v>
      </c>
      <c r="W22" s="114">
        <v>3</v>
      </c>
      <c r="X22" s="335" t="s">
        <v>233</v>
      </c>
      <c r="Y22" s="114" t="s">
        <v>101</v>
      </c>
      <c r="Z22" s="114" t="s">
        <v>343</v>
      </c>
      <c r="AA22" s="114" t="s">
        <v>85</v>
      </c>
      <c r="AB22" s="114" t="s">
        <v>344</v>
      </c>
    </row>
    <row r="23" spans="1:28" ht="24.95" customHeight="1" x14ac:dyDescent="0.3">
      <c r="A23" s="540"/>
      <c r="B23" s="20">
        <v>4</v>
      </c>
      <c r="C23" s="41" t="s">
        <v>427</v>
      </c>
      <c r="D23" s="11" t="s">
        <v>160</v>
      </c>
      <c r="E23" s="11" t="s">
        <v>429</v>
      </c>
      <c r="F23" s="11" t="s">
        <v>420</v>
      </c>
      <c r="G23" s="12" t="s">
        <v>431</v>
      </c>
      <c r="H23" s="42" t="s">
        <v>435</v>
      </c>
      <c r="I23" s="108" t="s">
        <v>313</v>
      </c>
      <c r="J23" s="11" t="s">
        <v>67</v>
      </c>
      <c r="K23" s="11" t="s">
        <v>422</v>
      </c>
      <c r="L23" s="11" t="s">
        <v>427</v>
      </c>
      <c r="M23" s="12" t="s">
        <v>68</v>
      </c>
      <c r="N23" s="18" t="s">
        <v>317</v>
      </c>
      <c r="O23" s="54" t="s">
        <v>280</v>
      </c>
      <c r="P23" s="11" t="s">
        <v>314</v>
      </c>
      <c r="Q23" s="15" t="s">
        <v>280</v>
      </c>
      <c r="R23" s="11" t="s">
        <v>279</v>
      </c>
      <c r="S23" s="82" t="s">
        <v>284</v>
      </c>
      <c r="T23" s="173" t="s">
        <v>317</v>
      </c>
      <c r="V23" s="113"/>
      <c r="W23" s="324">
        <f>SUM(W17:W22)</f>
        <v>17</v>
      </c>
      <c r="X23" s="324"/>
      <c r="Y23" s="117"/>
      <c r="Z23" s="114"/>
      <c r="AA23" s="114"/>
      <c r="AB23" s="114"/>
    </row>
    <row r="24" spans="1:28" ht="24.95" customHeight="1" x14ac:dyDescent="0.3">
      <c r="A24" s="540"/>
      <c r="B24" s="20">
        <v>5</v>
      </c>
      <c r="C24" s="41" t="s">
        <v>221</v>
      </c>
      <c r="D24" s="14" t="s">
        <v>427</v>
      </c>
      <c r="E24" s="14" t="s">
        <v>420</v>
      </c>
      <c r="F24" s="14" t="s">
        <v>282</v>
      </c>
      <c r="G24" s="89" t="s">
        <v>430</v>
      </c>
      <c r="H24" s="42" t="s">
        <v>285</v>
      </c>
      <c r="I24" s="11" t="s">
        <v>67</v>
      </c>
      <c r="J24" s="11" t="s">
        <v>421</v>
      </c>
      <c r="K24" s="14" t="s">
        <v>278</v>
      </c>
      <c r="L24" s="11" t="s">
        <v>279</v>
      </c>
      <c r="M24" s="12" t="s">
        <v>302</v>
      </c>
      <c r="N24" s="12" t="s">
        <v>68</v>
      </c>
      <c r="O24" s="54" t="s">
        <v>280</v>
      </c>
      <c r="P24" s="11" t="s">
        <v>287</v>
      </c>
      <c r="Q24" s="11" t="s">
        <v>285</v>
      </c>
      <c r="R24" s="11" t="s">
        <v>314</v>
      </c>
      <c r="S24" s="82" t="s">
        <v>284</v>
      </c>
      <c r="T24" s="173" t="s">
        <v>318</v>
      </c>
      <c r="V24" s="113" t="s">
        <v>67</v>
      </c>
      <c r="W24" s="114">
        <v>3</v>
      </c>
      <c r="X24" s="338" t="s">
        <v>92</v>
      </c>
      <c r="Y24" s="113" t="s">
        <v>108</v>
      </c>
      <c r="Z24" s="114" t="s">
        <v>336</v>
      </c>
      <c r="AA24" s="114" t="s">
        <v>87</v>
      </c>
      <c r="AB24" s="114" t="s">
        <v>346</v>
      </c>
    </row>
    <row r="25" spans="1:28" ht="24.95" customHeight="1" x14ac:dyDescent="0.3">
      <c r="A25" s="540"/>
      <c r="B25" s="20">
        <v>6</v>
      </c>
      <c r="C25" s="54" t="s">
        <v>431</v>
      </c>
      <c r="D25" s="22" t="s">
        <v>430</v>
      </c>
      <c r="E25" s="22" t="s">
        <v>427</v>
      </c>
      <c r="F25" s="22" t="s">
        <v>429</v>
      </c>
      <c r="G25" s="101" t="s">
        <v>282</v>
      </c>
      <c r="H25" s="92" t="s">
        <v>285</v>
      </c>
      <c r="I25" s="11" t="s">
        <v>67</v>
      </c>
      <c r="J25" s="12" t="s">
        <v>422</v>
      </c>
      <c r="K25" s="22" t="s">
        <v>278</v>
      </c>
      <c r="L25" s="13" t="s">
        <v>279</v>
      </c>
      <c r="M25" s="12" t="s">
        <v>221</v>
      </c>
      <c r="N25" s="12" t="s">
        <v>426</v>
      </c>
      <c r="O25" s="54" t="s">
        <v>280</v>
      </c>
      <c r="P25" s="11" t="s">
        <v>287</v>
      </c>
      <c r="Q25" s="15" t="s">
        <v>314</v>
      </c>
      <c r="R25" s="11" t="s">
        <v>284</v>
      </c>
      <c r="S25" s="82" t="s">
        <v>280</v>
      </c>
      <c r="T25" s="173" t="s">
        <v>318</v>
      </c>
      <c r="V25" s="113" t="s">
        <v>67</v>
      </c>
      <c r="W25" s="114">
        <v>1</v>
      </c>
      <c r="X25" s="339" t="s">
        <v>225</v>
      </c>
      <c r="Y25" s="337" t="s">
        <v>223</v>
      </c>
      <c r="Z25" s="114" t="s">
        <v>322</v>
      </c>
      <c r="AA25" s="114" t="s">
        <v>87</v>
      </c>
      <c r="AB25" s="114" t="s">
        <v>347</v>
      </c>
    </row>
    <row r="26" spans="1:28" ht="24.95" customHeight="1" thickBot="1" x14ac:dyDescent="0.35">
      <c r="A26" s="541"/>
      <c r="B26" s="57">
        <v>7</v>
      </c>
      <c r="C26" s="77" t="s">
        <v>160</v>
      </c>
      <c r="D26" s="24" t="s">
        <v>431</v>
      </c>
      <c r="E26" s="24" t="s">
        <v>160</v>
      </c>
      <c r="F26" s="24" t="s">
        <v>435</v>
      </c>
      <c r="G26" s="102" t="s">
        <v>429</v>
      </c>
      <c r="H26" s="103" t="s">
        <v>285</v>
      </c>
      <c r="I26" s="28" t="s">
        <v>278</v>
      </c>
      <c r="J26" s="26" t="s">
        <v>313</v>
      </c>
      <c r="K26" s="354" t="s">
        <v>278</v>
      </c>
      <c r="L26" s="26" t="s">
        <v>302</v>
      </c>
      <c r="M26" s="27" t="s">
        <v>427</v>
      </c>
      <c r="N26" s="27" t="s">
        <v>426</v>
      </c>
      <c r="O26" s="54" t="s">
        <v>314</v>
      </c>
      <c r="P26" s="93" t="s">
        <v>287</v>
      </c>
      <c r="Q26" s="29" t="s">
        <v>285</v>
      </c>
      <c r="R26" s="29" t="s">
        <v>284</v>
      </c>
      <c r="S26" s="82" t="s">
        <v>280</v>
      </c>
      <c r="T26" s="173" t="s">
        <v>302</v>
      </c>
      <c r="V26" s="113" t="s">
        <v>109</v>
      </c>
      <c r="W26" s="114">
        <v>4</v>
      </c>
      <c r="X26" s="342" t="s">
        <v>167</v>
      </c>
      <c r="Y26" s="331" t="s">
        <v>226</v>
      </c>
      <c r="Z26" s="114" t="s">
        <v>339</v>
      </c>
      <c r="AA26" s="114" t="s">
        <v>87</v>
      </c>
      <c r="AB26" s="114" t="s">
        <v>348</v>
      </c>
    </row>
    <row r="27" spans="1:28" ht="24.95" customHeight="1" x14ac:dyDescent="0.3">
      <c r="A27" s="540" t="s">
        <v>42</v>
      </c>
      <c r="B27" s="56">
        <v>1</v>
      </c>
      <c r="C27" s="51" t="s">
        <v>435</v>
      </c>
      <c r="D27" s="19" t="s">
        <v>160</v>
      </c>
      <c r="E27" s="19" t="s">
        <v>302</v>
      </c>
      <c r="F27" s="19" t="s">
        <v>420</v>
      </c>
      <c r="G27" s="21" t="s">
        <v>221</v>
      </c>
      <c r="H27" s="48" t="s">
        <v>429</v>
      </c>
      <c r="I27" s="25" t="s">
        <v>420</v>
      </c>
      <c r="J27" s="19" t="s">
        <v>67</v>
      </c>
      <c r="K27" s="19" t="s">
        <v>278</v>
      </c>
      <c r="L27" s="19" t="s">
        <v>426</v>
      </c>
      <c r="M27" s="21" t="s">
        <v>279</v>
      </c>
      <c r="N27" s="21" t="s">
        <v>317</v>
      </c>
      <c r="O27" s="352" t="s">
        <v>278</v>
      </c>
      <c r="P27" s="30" t="s">
        <v>280</v>
      </c>
      <c r="Q27" s="30" t="s">
        <v>278</v>
      </c>
      <c r="R27" s="30" t="s">
        <v>290</v>
      </c>
      <c r="S27" s="179" t="s">
        <v>290</v>
      </c>
      <c r="T27" s="176" t="s">
        <v>316</v>
      </c>
      <c r="V27" s="113" t="s">
        <v>109</v>
      </c>
      <c r="W27" s="114">
        <v>5</v>
      </c>
      <c r="X27" s="114" t="s">
        <v>227</v>
      </c>
      <c r="Y27" s="114" t="s">
        <v>120</v>
      </c>
      <c r="Z27" s="114" t="s">
        <v>345</v>
      </c>
      <c r="AA27" s="114" t="s">
        <v>87</v>
      </c>
      <c r="AB27" s="114" t="s">
        <v>349</v>
      </c>
    </row>
    <row r="28" spans="1:28" ht="24.95" customHeight="1" x14ac:dyDescent="0.3">
      <c r="A28" s="540"/>
      <c r="B28" s="20">
        <v>2</v>
      </c>
      <c r="C28" s="41" t="s">
        <v>431</v>
      </c>
      <c r="D28" s="11" t="s">
        <v>302</v>
      </c>
      <c r="E28" s="11" t="s">
        <v>420</v>
      </c>
      <c r="F28" s="11" t="s">
        <v>427</v>
      </c>
      <c r="G28" s="12" t="s">
        <v>430</v>
      </c>
      <c r="H28" s="42" t="s">
        <v>420</v>
      </c>
      <c r="I28" s="13" t="s">
        <v>422</v>
      </c>
      <c r="J28" s="11" t="s">
        <v>67</v>
      </c>
      <c r="K28" s="19" t="s">
        <v>278</v>
      </c>
      <c r="L28" s="11" t="s">
        <v>68</v>
      </c>
      <c r="M28" s="12" t="s">
        <v>279</v>
      </c>
      <c r="N28" s="12" t="s">
        <v>317</v>
      </c>
      <c r="O28" s="353" t="s">
        <v>278</v>
      </c>
      <c r="P28" s="13" t="s">
        <v>280</v>
      </c>
      <c r="Q28" s="19" t="s">
        <v>278</v>
      </c>
      <c r="R28" s="11" t="s">
        <v>290</v>
      </c>
      <c r="S28" s="82" t="s">
        <v>290</v>
      </c>
      <c r="T28" s="173" t="s">
        <v>316</v>
      </c>
      <c r="V28" s="113" t="s">
        <v>109</v>
      </c>
      <c r="W28" s="114">
        <v>2</v>
      </c>
      <c r="X28" s="114" t="s">
        <v>234</v>
      </c>
      <c r="Y28" s="114" t="s">
        <v>107</v>
      </c>
      <c r="Z28" s="114" t="s">
        <v>340</v>
      </c>
      <c r="AA28" s="114" t="s">
        <v>87</v>
      </c>
      <c r="AB28" s="114" t="s">
        <v>350</v>
      </c>
    </row>
    <row r="29" spans="1:28" ht="24.95" customHeight="1" x14ac:dyDescent="0.3">
      <c r="A29" s="540"/>
      <c r="B29" s="20">
        <v>3</v>
      </c>
      <c r="C29" s="41" t="s">
        <v>427</v>
      </c>
      <c r="D29" s="11" t="s">
        <v>221</v>
      </c>
      <c r="E29" s="11" t="s">
        <v>160</v>
      </c>
      <c r="F29" s="104" t="s">
        <v>435</v>
      </c>
      <c r="G29" s="12" t="s">
        <v>429</v>
      </c>
      <c r="H29" s="42" t="s">
        <v>430</v>
      </c>
      <c r="I29" s="13" t="s">
        <v>67</v>
      </c>
      <c r="J29" s="11" t="s">
        <v>421</v>
      </c>
      <c r="K29" s="19" t="s">
        <v>278</v>
      </c>
      <c r="L29" s="11" t="s">
        <v>279</v>
      </c>
      <c r="M29" s="12" t="s">
        <v>68</v>
      </c>
      <c r="N29" s="12" t="s">
        <v>427</v>
      </c>
      <c r="O29" s="70" t="s">
        <v>278</v>
      </c>
      <c r="P29" s="11" t="s">
        <v>280</v>
      </c>
      <c r="Q29" s="19" t="s">
        <v>288</v>
      </c>
      <c r="R29" s="11" t="s">
        <v>290</v>
      </c>
      <c r="S29" s="82" t="s">
        <v>290</v>
      </c>
      <c r="T29" s="173" t="s">
        <v>316</v>
      </c>
      <c r="V29" s="113" t="s">
        <v>109</v>
      </c>
      <c r="W29" s="114">
        <v>2</v>
      </c>
      <c r="X29" s="343" t="s">
        <v>235</v>
      </c>
      <c r="Y29" s="332" t="s">
        <v>229</v>
      </c>
      <c r="Z29" s="114" t="s">
        <v>340</v>
      </c>
      <c r="AA29" s="114" t="s">
        <v>87</v>
      </c>
      <c r="AB29" s="114" t="s">
        <v>351</v>
      </c>
    </row>
    <row r="30" spans="1:28" ht="24.95" customHeight="1" x14ac:dyDescent="0.3">
      <c r="A30" s="540"/>
      <c r="B30" s="20">
        <v>4</v>
      </c>
      <c r="C30" s="41" t="s">
        <v>420</v>
      </c>
      <c r="D30" s="11" t="s">
        <v>431</v>
      </c>
      <c r="E30" s="11" t="s">
        <v>435</v>
      </c>
      <c r="F30" s="11" t="s">
        <v>430</v>
      </c>
      <c r="G30" s="12" t="s">
        <v>160</v>
      </c>
      <c r="H30" s="42" t="s">
        <v>431</v>
      </c>
      <c r="I30" s="13" t="s">
        <v>67</v>
      </c>
      <c r="J30" s="11" t="s">
        <v>420</v>
      </c>
      <c r="K30" s="19" t="s">
        <v>278</v>
      </c>
      <c r="L30" s="11" t="s">
        <v>279</v>
      </c>
      <c r="M30" s="12" t="s">
        <v>427</v>
      </c>
      <c r="N30" s="12" t="s">
        <v>302</v>
      </c>
      <c r="O30" s="54" t="s">
        <v>289</v>
      </c>
      <c r="P30" s="11" t="s">
        <v>286</v>
      </c>
      <c r="Q30" s="19" t="s">
        <v>280</v>
      </c>
      <c r="R30" s="11" t="s">
        <v>285</v>
      </c>
      <c r="S30" s="82" t="s">
        <v>280</v>
      </c>
      <c r="T30" s="173" t="s">
        <v>316</v>
      </c>
      <c r="V30" s="113"/>
      <c r="W30" s="324">
        <f>SUM(W24:W29)</f>
        <v>17</v>
      </c>
      <c r="X30" s="115"/>
      <c r="Y30" s="117"/>
      <c r="Z30" s="114"/>
      <c r="AA30" s="114"/>
      <c r="AB30" s="114"/>
    </row>
    <row r="31" spans="1:28" ht="24.95" customHeight="1" x14ac:dyDescent="0.3">
      <c r="A31" s="540"/>
      <c r="B31" s="20">
        <v>5</v>
      </c>
      <c r="C31" s="41" t="s">
        <v>67</v>
      </c>
      <c r="D31" s="104" t="s">
        <v>429</v>
      </c>
      <c r="E31" s="15" t="s">
        <v>427</v>
      </c>
      <c r="F31" s="15" t="s">
        <v>221</v>
      </c>
      <c r="G31" s="111" t="s">
        <v>420</v>
      </c>
      <c r="H31" s="55" t="s">
        <v>427</v>
      </c>
      <c r="I31" s="19" t="s">
        <v>278</v>
      </c>
      <c r="J31" s="12" t="s">
        <v>302</v>
      </c>
      <c r="K31" s="19" t="s">
        <v>278</v>
      </c>
      <c r="L31" s="11" t="s">
        <v>313</v>
      </c>
      <c r="M31" s="11" t="s">
        <v>279</v>
      </c>
      <c r="N31" s="12" t="s">
        <v>317</v>
      </c>
      <c r="O31" s="54" t="s">
        <v>280</v>
      </c>
      <c r="P31" s="11" t="s">
        <v>286</v>
      </c>
      <c r="Q31" s="19" t="s">
        <v>302</v>
      </c>
      <c r="R31" s="17" t="s">
        <v>285</v>
      </c>
      <c r="S31" s="82" t="s">
        <v>280</v>
      </c>
      <c r="T31" s="173" t="s">
        <v>317</v>
      </c>
      <c r="V31" s="113" t="s">
        <v>88</v>
      </c>
      <c r="W31" s="114">
        <v>3</v>
      </c>
      <c r="X31" s="324" t="s">
        <v>236</v>
      </c>
      <c r="Y31" s="113" t="s">
        <v>237</v>
      </c>
      <c r="Z31" s="114" t="s">
        <v>381</v>
      </c>
      <c r="AA31" s="114" t="s">
        <v>89</v>
      </c>
      <c r="AB31" s="114" t="s">
        <v>384</v>
      </c>
    </row>
    <row r="32" spans="1:28" ht="24.95" customHeight="1" x14ac:dyDescent="0.3">
      <c r="A32" s="540"/>
      <c r="B32" s="20">
        <v>6</v>
      </c>
      <c r="C32" s="41" t="s">
        <v>67</v>
      </c>
      <c r="D32" s="11" t="s">
        <v>283</v>
      </c>
      <c r="E32" s="11" t="s">
        <v>431</v>
      </c>
      <c r="F32" s="11" t="s">
        <v>429</v>
      </c>
      <c r="G32" s="12" t="s">
        <v>427</v>
      </c>
      <c r="H32" s="42" t="s">
        <v>221</v>
      </c>
      <c r="I32" s="19" t="s">
        <v>278</v>
      </c>
      <c r="J32" s="166" t="s">
        <v>313</v>
      </c>
      <c r="K32" s="19" t="s">
        <v>278</v>
      </c>
      <c r="L32" s="11" t="s">
        <v>279</v>
      </c>
      <c r="M32" s="11" t="s">
        <v>279</v>
      </c>
      <c r="N32" s="12" t="s">
        <v>317</v>
      </c>
      <c r="O32" s="54" t="s">
        <v>280</v>
      </c>
      <c r="P32" s="11" t="s">
        <v>286</v>
      </c>
      <c r="Q32" s="19" t="s">
        <v>284</v>
      </c>
      <c r="R32" s="11" t="s">
        <v>279</v>
      </c>
      <c r="S32" s="82" t="s">
        <v>285</v>
      </c>
      <c r="T32" s="173" t="s">
        <v>317</v>
      </c>
      <c r="V32" s="113" t="s">
        <v>88</v>
      </c>
      <c r="W32" s="114">
        <v>4</v>
      </c>
      <c r="X32" s="114" t="s">
        <v>238</v>
      </c>
      <c r="Y32" s="114" t="s">
        <v>239</v>
      </c>
      <c r="Z32" s="114" t="s">
        <v>382</v>
      </c>
      <c r="AA32" s="114" t="s">
        <v>89</v>
      </c>
      <c r="AB32" s="114" t="s">
        <v>385</v>
      </c>
    </row>
    <row r="33" spans="1:28" ht="40.9" customHeight="1" thickBot="1" x14ac:dyDescent="0.35">
      <c r="A33" s="541"/>
      <c r="B33" s="57">
        <v>7</v>
      </c>
      <c r="C33" s="52" t="s">
        <v>67</v>
      </c>
      <c r="D33" s="26" t="s">
        <v>283</v>
      </c>
      <c r="E33" s="26" t="s">
        <v>430</v>
      </c>
      <c r="F33" s="26" t="s">
        <v>431</v>
      </c>
      <c r="G33" s="27" t="s">
        <v>435</v>
      </c>
      <c r="H33" s="47" t="s">
        <v>160</v>
      </c>
      <c r="I33" s="19" t="s">
        <v>278</v>
      </c>
      <c r="J33" s="26" t="s">
        <v>422</v>
      </c>
      <c r="K33" s="19" t="s">
        <v>278</v>
      </c>
      <c r="L33" s="34" t="s">
        <v>427</v>
      </c>
      <c r="M33" s="11" t="s">
        <v>426</v>
      </c>
      <c r="N33" s="27" t="s">
        <v>317</v>
      </c>
      <c r="O33" s="71" t="s">
        <v>280</v>
      </c>
      <c r="P33" s="26" t="s">
        <v>286</v>
      </c>
      <c r="Q33" s="354" t="s">
        <v>284</v>
      </c>
      <c r="R33" s="26" t="s">
        <v>279</v>
      </c>
      <c r="S33" s="355" t="s">
        <v>285</v>
      </c>
      <c r="T33" s="356" t="s">
        <v>317</v>
      </c>
      <c r="V33" s="113" t="s">
        <v>88</v>
      </c>
      <c r="W33" s="114">
        <v>4</v>
      </c>
      <c r="X33" s="324" t="s">
        <v>240</v>
      </c>
      <c r="Y33" s="337" t="s">
        <v>241</v>
      </c>
      <c r="Z33" s="114" t="s">
        <v>386</v>
      </c>
      <c r="AA33" s="114" t="s">
        <v>89</v>
      </c>
      <c r="AB33" s="113" t="s">
        <v>446</v>
      </c>
    </row>
    <row r="34" spans="1:28" ht="24.95" customHeight="1" x14ac:dyDescent="0.3">
      <c r="A34" s="542" t="s">
        <v>45</v>
      </c>
      <c r="B34" s="73">
        <v>1</v>
      </c>
      <c r="C34" s="53" t="s">
        <v>429</v>
      </c>
      <c r="D34" s="30" t="s">
        <v>435</v>
      </c>
      <c r="E34" s="30" t="s">
        <v>283</v>
      </c>
      <c r="F34" s="30" t="s">
        <v>303</v>
      </c>
      <c r="G34" s="31" t="s">
        <v>221</v>
      </c>
      <c r="H34" s="49" t="s">
        <v>285</v>
      </c>
      <c r="I34" s="33" t="s">
        <v>302</v>
      </c>
      <c r="J34" s="19" t="s">
        <v>420</v>
      </c>
      <c r="K34" s="30" t="s">
        <v>421</v>
      </c>
      <c r="L34" s="30" t="s">
        <v>279</v>
      </c>
      <c r="M34" s="31" t="s">
        <v>426</v>
      </c>
      <c r="N34" s="37" t="s">
        <v>427</v>
      </c>
      <c r="O34" s="72" t="s">
        <v>289</v>
      </c>
      <c r="P34" s="36" t="s">
        <v>287</v>
      </c>
      <c r="Q34" s="30" t="s">
        <v>288</v>
      </c>
      <c r="R34" s="30" t="s">
        <v>279</v>
      </c>
      <c r="S34" s="179" t="s">
        <v>302</v>
      </c>
      <c r="T34" s="176" t="s">
        <v>316</v>
      </c>
      <c r="V34" s="113" t="s">
        <v>88</v>
      </c>
      <c r="W34" s="114">
        <v>2</v>
      </c>
      <c r="X34" s="114" t="s">
        <v>110</v>
      </c>
      <c r="Y34" s="114" t="s">
        <v>111</v>
      </c>
      <c r="Z34" s="114" t="s">
        <v>383</v>
      </c>
      <c r="AA34" s="114" t="s">
        <v>89</v>
      </c>
      <c r="AB34" s="114" t="s">
        <v>387</v>
      </c>
    </row>
    <row r="35" spans="1:28" ht="24.95" customHeight="1" x14ac:dyDescent="0.3">
      <c r="A35" s="540"/>
      <c r="B35" s="20">
        <v>2</v>
      </c>
      <c r="C35" s="41" t="s">
        <v>430</v>
      </c>
      <c r="D35" s="11" t="s">
        <v>67</v>
      </c>
      <c r="E35" s="11" t="s">
        <v>283</v>
      </c>
      <c r="F35" s="11" t="s">
        <v>303</v>
      </c>
      <c r="G35" s="12" t="s">
        <v>160</v>
      </c>
      <c r="H35" s="42" t="s">
        <v>285</v>
      </c>
      <c r="I35" s="13" t="s">
        <v>278</v>
      </c>
      <c r="J35" s="11" t="s">
        <v>279</v>
      </c>
      <c r="K35" s="11" t="s">
        <v>421</v>
      </c>
      <c r="L35" s="11" t="s">
        <v>279</v>
      </c>
      <c r="M35" s="12" t="s">
        <v>279</v>
      </c>
      <c r="N35" s="4" t="s">
        <v>68</v>
      </c>
      <c r="O35" s="54" t="s">
        <v>289</v>
      </c>
      <c r="P35" s="11" t="s">
        <v>287</v>
      </c>
      <c r="Q35" s="11" t="s">
        <v>288</v>
      </c>
      <c r="R35" s="11" t="s">
        <v>279</v>
      </c>
      <c r="S35" s="82" t="s">
        <v>280</v>
      </c>
      <c r="T35" s="173" t="s">
        <v>316</v>
      </c>
      <c r="V35" s="113" t="s">
        <v>88</v>
      </c>
      <c r="W35" s="114">
        <v>2</v>
      </c>
      <c r="X35" s="324" t="s">
        <v>242</v>
      </c>
      <c r="Y35" s="113" t="s">
        <v>243</v>
      </c>
      <c r="Z35" s="114" t="s">
        <v>383</v>
      </c>
      <c r="AA35" s="114" t="s">
        <v>89</v>
      </c>
      <c r="AB35" s="114" t="s">
        <v>445</v>
      </c>
    </row>
    <row r="36" spans="1:28" ht="24.95" customHeight="1" x14ac:dyDescent="0.3">
      <c r="A36" s="540"/>
      <c r="B36" s="20">
        <v>3</v>
      </c>
      <c r="C36" s="41" t="s">
        <v>221</v>
      </c>
      <c r="D36" s="11" t="s">
        <v>67</v>
      </c>
      <c r="E36" s="11" t="s">
        <v>429</v>
      </c>
      <c r="F36" s="11" t="s">
        <v>431</v>
      </c>
      <c r="G36" s="12" t="s">
        <v>303</v>
      </c>
      <c r="H36" s="42" t="s">
        <v>435</v>
      </c>
      <c r="I36" s="13" t="s">
        <v>278</v>
      </c>
      <c r="J36" s="11" t="s">
        <v>279</v>
      </c>
      <c r="K36" s="11" t="s">
        <v>420</v>
      </c>
      <c r="L36" s="11" t="s">
        <v>279</v>
      </c>
      <c r="M36" s="11" t="s">
        <v>279</v>
      </c>
      <c r="N36" s="4" t="s">
        <v>317</v>
      </c>
      <c r="O36" s="54" t="s">
        <v>289</v>
      </c>
      <c r="P36" s="11" t="s">
        <v>287</v>
      </c>
      <c r="Q36" s="11" t="s">
        <v>288</v>
      </c>
      <c r="R36" s="11" t="s">
        <v>280</v>
      </c>
      <c r="S36" s="82" t="s">
        <v>279</v>
      </c>
      <c r="T36" s="173" t="s">
        <v>319</v>
      </c>
      <c r="V36" s="113"/>
      <c r="W36" s="324">
        <f>SUM(W31:W35)</f>
        <v>15</v>
      </c>
      <c r="X36" s="344"/>
      <c r="Y36" s="116"/>
      <c r="Z36" s="113"/>
      <c r="AA36" s="114"/>
      <c r="AB36" s="114"/>
    </row>
    <row r="37" spans="1:28" ht="24.95" customHeight="1" x14ac:dyDescent="0.3">
      <c r="A37" s="540"/>
      <c r="B37" s="20">
        <v>4</v>
      </c>
      <c r="C37" s="78" t="s">
        <v>435</v>
      </c>
      <c r="D37" s="11" t="s">
        <v>67</v>
      </c>
      <c r="E37" s="79" t="s">
        <v>420</v>
      </c>
      <c r="F37" s="104" t="s">
        <v>221</v>
      </c>
      <c r="G37" s="81" t="s">
        <v>303</v>
      </c>
      <c r="H37" s="40" t="s">
        <v>429</v>
      </c>
      <c r="I37" s="13" t="s">
        <v>278</v>
      </c>
      <c r="J37" s="11" t="s">
        <v>279</v>
      </c>
      <c r="K37" s="11" t="s">
        <v>422</v>
      </c>
      <c r="L37" s="11" t="s">
        <v>427</v>
      </c>
      <c r="M37" s="11" t="s">
        <v>313</v>
      </c>
      <c r="N37" s="4" t="s">
        <v>317</v>
      </c>
      <c r="O37" s="54" t="s">
        <v>289</v>
      </c>
      <c r="P37" s="11" t="s">
        <v>286</v>
      </c>
      <c r="Q37" s="11" t="s">
        <v>288</v>
      </c>
      <c r="R37" s="11" t="s">
        <v>280</v>
      </c>
      <c r="S37" s="82" t="s">
        <v>279</v>
      </c>
      <c r="T37" s="173" t="s">
        <v>319</v>
      </c>
      <c r="V37" s="113" t="s">
        <v>115</v>
      </c>
      <c r="W37" s="114">
        <v>3</v>
      </c>
      <c r="X37" s="114" t="s">
        <v>244</v>
      </c>
      <c r="Y37" s="113" t="s">
        <v>245</v>
      </c>
      <c r="Z37" s="114" t="s">
        <v>400</v>
      </c>
      <c r="AA37" s="114" t="s">
        <v>114</v>
      </c>
      <c r="AB37" s="114" t="s">
        <v>410</v>
      </c>
    </row>
    <row r="38" spans="1:28" ht="24.95" customHeight="1" x14ac:dyDescent="0.3">
      <c r="A38" s="540"/>
      <c r="B38" s="20">
        <v>5</v>
      </c>
      <c r="C38" s="139" t="s">
        <v>143</v>
      </c>
      <c r="D38" s="140" t="s">
        <v>143</v>
      </c>
      <c r="E38" s="140" t="s">
        <v>143</v>
      </c>
      <c r="F38" s="140" t="s">
        <v>143</v>
      </c>
      <c r="G38" s="141" t="s">
        <v>143</v>
      </c>
      <c r="H38" s="142" t="s">
        <v>143</v>
      </c>
      <c r="I38" s="143" t="s">
        <v>143</v>
      </c>
      <c r="J38" s="140" t="s">
        <v>143</v>
      </c>
      <c r="K38" s="140" t="s">
        <v>143</v>
      </c>
      <c r="L38" s="140" t="s">
        <v>143</v>
      </c>
      <c r="M38" s="141" t="s">
        <v>143</v>
      </c>
      <c r="N38" s="141" t="s">
        <v>143</v>
      </c>
      <c r="O38" s="144" t="s">
        <v>143</v>
      </c>
      <c r="P38" s="140" t="s">
        <v>143</v>
      </c>
      <c r="Q38" s="140" t="s">
        <v>143</v>
      </c>
      <c r="R38" s="140" t="s">
        <v>143</v>
      </c>
      <c r="S38" s="180" t="s">
        <v>143</v>
      </c>
      <c r="T38" s="177" t="s">
        <v>143</v>
      </c>
      <c r="V38" s="113" t="s">
        <v>115</v>
      </c>
      <c r="W38" s="114">
        <v>4</v>
      </c>
      <c r="X38" s="114" t="s">
        <v>246</v>
      </c>
      <c r="Y38" s="113" t="s">
        <v>247</v>
      </c>
      <c r="Z38" s="114" t="s">
        <v>401</v>
      </c>
      <c r="AA38" s="114" t="s">
        <v>114</v>
      </c>
      <c r="AB38" s="114" t="s">
        <v>457</v>
      </c>
    </row>
    <row r="39" spans="1:28" ht="24.95" customHeight="1" thickBot="1" x14ac:dyDescent="0.35">
      <c r="A39" s="540"/>
      <c r="B39" s="20">
        <v>6</v>
      </c>
      <c r="C39" s="139" t="s">
        <v>143</v>
      </c>
      <c r="D39" s="140" t="s">
        <v>143</v>
      </c>
      <c r="E39" s="140" t="s">
        <v>143</v>
      </c>
      <c r="F39" s="140" t="s">
        <v>143</v>
      </c>
      <c r="G39" s="141" t="s">
        <v>143</v>
      </c>
      <c r="H39" s="142" t="s">
        <v>143</v>
      </c>
      <c r="I39" s="143" t="s">
        <v>143</v>
      </c>
      <c r="J39" s="143" t="s">
        <v>143</v>
      </c>
      <c r="K39" s="143" t="s">
        <v>143</v>
      </c>
      <c r="L39" s="143" t="s">
        <v>143</v>
      </c>
      <c r="M39" s="143" t="s">
        <v>143</v>
      </c>
      <c r="N39" s="143" t="s">
        <v>143</v>
      </c>
      <c r="O39" s="269" t="s">
        <v>142</v>
      </c>
      <c r="P39" s="270" t="s">
        <v>142</v>
      </c>
      <c r="Q39" s="270" t="s">
        <v>142</v>
      </c>
      <c r="R39" s="270" t="s">
        <v>142</v>
      </c>
      <c r="S39" s="271" t="s">
        <v>142</v>
      </c>
      <c r="T39" s="272" t="s">
        <v>142</v>
      </c>
      <c r="V39" s="113" t="s">
        <v>115</v>
      </c>
      <c r="W39" s="114">
        <v>4</v>
      </c>
      <c r="X39" s="114" t="s">
        <v>248</v>
      </c>
      <c r="Y39" s="113" t="s">
        <v>249</v>
      </c>
      <c r="Z39" s="114" t="s">
        <v>402</v>
      </c>
      <c r="AA39" s="114" t="s">
        <v>114</v>
      </c>
      <c r="AB39" s="114" t="s">
        <v>447</v>
      </c>
    </row>
    <row r="40" spans="1:28" ht="24.95" customHeight="1" x14ac:dyDescent="0.3">
      <c r="A40" s="500" t="s">
        <v>147</v>
      </c>
      <c r="B40" s="503" t="s">
        <v>146</v>
      </c>
      <c r="C40" s="514" t="s">
        <v>0</v>
      </c>
      <c r="D40" s="515"/>
      <c r="E40" s="515"/>
      <c r="F40" s="515"/>
      <c r="G40" s="515"/>
      <c r="H40" s="516"/>
      <c r="I40" s="515" t="s">
        <v>29</v>
      </c>
      <c r="J40" s="515"/>
      <c r="K40" s="515"/>
      <c r="L40" s="515"/>
      <c r="M40" s="515"/>
      <c r="N40" s="515"/>
      <c r="O40" s="517" t="s">
        <v>1</v>
      </c>
      <c r="P40" s="518"/>
      <c r="Q40" s="518"/>
      <c r="R40" s="518"/>
      <c r="S40" s="518"/>
      <c r="T40" s="519"/>
      <c r="V40" s="113" t="s">
        <v>115</v>
      </c>
      <c r="W40" s="114">
        <v>4</v>
      </c>
      <c r="X40" s="113" t="s">
        <v>250</v>
      </c>
      <c r="Y40" s="113" t="s">
        <v>251</v>
      </c>
      <c r="Z40" s="114" t="s">
        <v>402</v>
      </c>
      <c r="AA40" s="114" t="s">
        <v>114</v>
      </c>
      <c r="AB40" s="114" t="s">
        <v>419</v>
      </c>
    </row>
    <row r="41" spans="1:28" ht="17.45" customHeight="1" x14ac:dyDescent="0.3">
      <c r="A41" s="501"/>
      <c r="B41" s="504"/>
      <c r="C41" s="496" t="s">
        <v>71</v>
      </c>
      <c r="D41" s="499"/>
      <c r="E41" s="497"/>
      <c r="F41" s="498" t="s">
        <v>73</v>
      </c>
      <c r="G41" s="497"/>
      <c r="H41" s="120" t="s">
        <v>72</v>
      </c>
      <c r="I41" s="496" t="s">
        <v>71</v>
      </c>
      <c r="J41" s="497"/>
      <c r="K41" s="479" t="s">
        <v>70</v>
      </c>
      <c r="L41" s="498" t="s">
        <v>73</v>
      </c>
      <c r="M41" s="499"/>
      <c r="N41" s="480" t="s">
        <v>72</v>
      </c>
      <c r="O41" s="555" t="s">
        <v>71</v>
      </c>
      <c r="P41" s="521"/>
      <c r="Q41" s="482" t="s">
        <v>70</v>
      </c>
      <c r="R41" s="520" t="s">
        <v>73</v>
      </c>
      <c r="S41" s="521"/>
      <c r="T41" s="261" t="s">
        <v>72</v>
      </c>
      <c r="V41" s="113"/>
      <c r="W41" s="114">
        <f>SUM(W37:W40)</f>
        <v>15</v>
      </c>
      <c r="X41" s="114"/>
      <c r="Y41" s="114"/>
      <c r="Z41" s="114"/>
      <c r="AA41" s="114"/>
      <c r="AB41" s="114"/>
    </row>
    <row r="42" spans="1:28" ht="24" customHeight="1" x14ac:dyDescent="0.3">
      <c r="A42" s="501"/>
      <c r="B42" s="504"/>
      <c r="C42" s="506" t="s">
        <v>33</v>
      </c>
      <c r="D42" s="508" t="s">
        <v>18</v>
      </c>
      <c r="E42" s="508" t="s">
        <v>19</v>
      </c>
      <c r="F42" s="508" t="s">
        <v>69</v>
      </c>
      <c r="G42" s="508">
        <v>15</v>
      </c>
      <c r="H42" s="553">
        <v>16</v>
      </c>
      <c r="I42" s="506" t="s">
        <v>34</v>
      </c>
      <c r="J42" s="508" t="s">
        <v>35</v>
      </c>
      <c r="K42" s="508" t="s">
        <v>20</v>
      </c>
      <c r="L42" s="508" t="s">
        <v>102</v>
      </c>
      <c r="M42" s="508" t="s">
        <v>103</v>
      </c>
      <c r="N42" s="556" t="s">
        <v>104</v>
      </c>
      <c r="O42" s="506" t="s">
        <v>36</v>
      </c>
      <c r="P42" s="508" t="s">
        <v>37</v>
      </c>
      <c r="Q42" s="508" t="s">
        <v>21</v>
      </c>
      <c r="R42" s="508" t="s">
        <v>22</v>
      </c>
      <c r="S42" s="508" t="s">
        <v>161</v>
      </c>
      <c r="T42" s="553" t="s">
        <v>150</v>
      </c>
      <c r="V42" s="129" t="s">
        <v>80</v>
      </c>
      <c r="W42" s="130">
        <v>2</v>
      </c>
      <c r="X42" s="345" t="s">
        <v>252</v>
      </c>
      <c r="Y42" s="346" t="s">
        <v>162</v>
      </c>
      <c r="Z42" s="130" t="s">
        <v>352</v>
      </c>
      <c r="AA42" s="130" t="s">
        <v>91</v>
      </c>
      <c r="AB42" s="130" t="s">
        <v>366</v>
      </c>
    </row>
    <row r="43" spans="1:28" ht="18.600000000000001" customHeight="1" thickBot="1" x14ac:dyDescent="0.35">
      <c r="A43" s="502"/>
      <c r="B43" s="505"/>
      <c r="C43" s="507"/>
      <c r="D43" s="509"/>
      <c r="E43" s="509"/>
      <c r="F43" s="509"/>
      <c r="G43" s="509"/>
      <c r="H43" s="554"/>
      <c r="I43" s="507"/>
      <c r="J43" s="509"/>
      <c r="K43" s="509"/>
      <c r="L43" s="509"/>
      <c r="M43" s="509"/>
      <c r="N43" s="557"/>
      <c r="O43" s="507"/>
      <c r="P43" s="509"/>
      <c r="Q43" s="509"/>
      <c r="R43" s="509"/>
      <c r="S43" s="509"/>
      <c r="T43" s="554"/>
      <c r="V43" s="129" t="s">
        <v>80</v>
      </c>
      <c r="W43" s="130">
        <v>3</v>
      </c>
      <c r="X43" s="345" t="s">
        <v>99</v>
      </c>
      <c r="Y43" s="346" t="s">
        <v>100</v>
      </c>
      <c r="Z43" s="130" t="s">
        <v>353</v>
      </c>
      <c r="AA43" s="130" t="s">
        <v>91</v>
      </c>
      <c r="AB43" s="130" t="s">
        <v>367</v>
      </c>
    </row>
    <row r="44" spans="1:28" ht="28.9" customHeight="1" thickBot="1" x14ac:dyDescent="0.35">
      <c r="A44" s="510" t="s">
        <v>145</v>
      </c>
      <c r="B44" s="511"/>
      <c r="C44" s="511"/>
      <c r="D44" s="511"/>
      <c r="E44" s="511"/>
      <c r="F44" s="511"/>
      <c r="G44" s="511"/>
      <c r="H44" s="511"/>
      <c r="I44" s="511"/>
      <c r="J44" s="511"/>
      <c r="K44" s="511"/>
      <c r="L44" s="511"/>
      <c r="M44" s="511"/>
      <c r="N44" s="511"/>
      <c r="O44" s="512"/>
      <c r="P44" s="512"/>
      <c r="Q44" s="512"/>
      <c r="R44" s="512"/>
      <c r="S44" s="512"/>
      <c r="T44" s="513"/>
      <c r="V44" s="129" t="s">
        <v>82</v>
      </c>
      <c r="W44" s="130">
        <v>4</v>
      </c>
      <c r="X44" s="345" t="s">
        <v>117</v>
      </c>
      <c r="Y44" s="129" t="s">
        <v>118</v>
      </c>
      <c r="Z44" s="130" t="s">
        <v>341</v>
      </c>
      <c r="AA44" s="130" t="s">
        <v>91</v>
      </c>
      <c r="AB44" s="130" t="s">
        <v>455</v>
      </c>
    </row>
    <row r="45" spans="1:28" ht="39.6" customHeight="1" thickBot="1" x14ac:dyDescent="0.35">
      <c r="A45" s="494" t="s">
        <v>148</v>
      </c>
      <c r="B45" s="495"/>
      <c r="C45" s="167">
        <v>32</v>
      </c>
      <c r="D45" s="168">
        <v>32</v>
      </c>
      <c r="E45" s="168">
        <v>32</v>
      </c>
      <c r="F45" s="168">
        <v>32</v>
      </c>
      <c r="G45" s="168">
        <v>32</v>
      </c>
      <c r="H45" s="262">
        <v>32</v>
      </c>
      <c r="I45" s="167">
        <v>32</v>
      </c>
      <c r="J45" s="168">
        <v>32</v>
      </c>
      <c r="K45" s="168">
        <v>32</v>
      </c>
      <c r="L45" s="168">
        <v>32</v>
      </c>
      <c r="M45" s="168">
        <v>32</v>
      </c>
      <c r="N45" s="262">
        <v>32</v>
      </c>
      <c r="O45" s="167">
        <v>32</v>
      </c>
      <c r="P45" s="168">
        <v>32</v>
      </c>
      <c r="Q45" s="168">
        <v>32</v>
      </c>
      <c r="R45" s="168">
        <v>32</v>
      </c>
      <c r="S45" s="168">
        <v>32</v>
      </c>
      <c r="T45" s="262">
        <v>32</v>
      </c>
      <c r="V45" s="129" t="s">
        <v>82</v>
      </c>
      <c r="W45" s="130">
        <v>2</v>
      </c>
      <c r="X45" s="345" t="s">
        <v>163</v>
      </c>
      <c r="Y45" s="129" t="s">
        <v>164</v>
      </c>
      <c r="Z45" s="130" t="s">
        <v>352</v>
      </c>
      <c r="AA45" s="130" t="s">
        <v>91</v>
      </c>
      <c r="AB45" s="130" t="s">
        <v>368</v>
      </c>
    </row>
    <row r="46" spans="1:28" ht="39.6" customHeight="1" x14ac:dyDescent="0.3">
      <c r="A46" s="325"/>
      <c r="B46" s="325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V46" s="129" t="s">
        <v>82</v>
      </c>
      <c r="W46" s="130">
        <v>1</v>
      </c>
      <c r="X46" s="347" t="s">
        <v>165</v>
      </c>
      <c r="Y46" s="129" t="s">
        <v>166</v>
      </c>
      <c r="Z46" s="130" t="s">
        <v>354</v>
      </c>
      <c r="AA46" s="130" t="s">
        <v>91</v>
      </c>
      <c r="AB46" s="130" t="s">
        <v>369</v>
      </c>
    </row>
    <row r="47" spans="1:28" ht="24.95" customHeight="1" x14ac:dyDescent="0.3">
      <c r="A47" s="325"/>
      <c r="B47" s="325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V47" s="129" t="s">
        <v>83</v>
      </c>
      <c r="W47" s="130">
        <v>4</v>
      </c>
      <c r="X47" s="347" t="s">
        <v>119</v>
      </c>
      <c r="Y47" s="346" t="s">
        <v>120</v>
      </c>
      <c r="Z47" s="130" t="s">
        <v>355</v>
      </c>
      <c r="AA47" s="130" t="s">
        <v>91</v>
      </c>
      <c r="AB47" s="130" t="s">
        <v>370</v>
      </c>
    </row>
    <row r="48" spans="1:28" ht="24.95" customHeight="1" x14ac:dyDescent="0.3">
      <c r="A48" s="55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58"/>
      <c r="P48" s="558"/>
      <c r="Q48" s="558"/>
      <c r="R48" s="558"/>
      <c r="S48" s="558"/>
      <c r="T48" s="558"/>
      <c r="V48" s="129" t="s">
        <v>83</v>
      </c>
      <c r="W48" s="130">
        <v>4</v>
      </c>
      <c r="X48" s="347" t="s">
        <v>167</v>
      </c>
      <c r="Y48" s="346" t="s">
        <v>168</v>
      </c>
      <c r="Z48" s="130" t="s">
        <v>355</v>
      </c>
      <c r="AA48" s="130" t="s">
        <v>91</v>
      </c>
      <c r="AB48" s="130" t="s">
        <v>371</v>
      </c>
    </row>
    <row r="49" spans="22:28" ht="24.95" customHeight="1" x14ac:dyDescent="0.3">
      <c r="V49" s="129" t="s">
        <v>83</v>
      </c>
      <c r="W49" s="130">
        <v>4</v>
      </c>
      <c r="X49" s="345" t="s">
        <v>169</v>
      </c>
      <c r="Y49" s="129" t="s">
        <v>170</v>
      </c>
      <c r="Z49" s="130" t="s">
        <v>355</v>
      </c>
      <c r="AA49" s="130" t="s">
        <v>91</v>
      </c>
      <c r="AB49" s="130" t="s">
        <v>372</v>
      </c>
    </row>
    <row r="50" spans="22:28" ht="24.95" customHeight="1" x14ac:dyDescent="0.3">
      <c r="V50" s="129"/>
      <c r="W50" s="130">
        <f>SUM(W42:W49)</f>
        <v>24</v>
      </c>
      <c r="X50" s="130"/>
      <c r="Y50" s="130"/>
      <c r="Z50" s="130"/>
      <c r="AA50" s="130"/>
      <c r="AB50" s="130"/>
    </row>
    <row r="51" spans="22:28" ht="24.95" customHeight="1" x14ac:dyDescent="0.3">
      <c r="V51" s="129" t="s">
        <v>86</v>
      </c>
      <c r="W51" s="130">
        <v>3</v>
      </c>
      <c r="X51" s="345" t="s">
        <v>171</v>
      </c>
      <c r="Y51" s="129" t="s">
        <v>172</v>
      </c>
      <c r="Z51" s="130" t="s">
        <v>356</v>
      </c>
      <c r="AA51" s="130" t="s">
        <v>93</v>
      </c>
      <c r="AB51" s="130" t="s">
        <v>373</v>
      </c>
    </row>
    <row r="52" spans="22:28" ht="24.95" customHeight="1" x14ac:dyDescent="0.3">
      <c r="V52" s="129" t="s">
        <v>86</v>
      </c>
      <c r="W52" s="130">
        <v>3</v>
      </c>
      <c r="X52" s="345" t="s">
        <v>173</v>
      </c>
      <c r="Y52" s="129" t="s">
        <v>174</v>
      </c>
      <c r="Z52" s="130" t="s">
        <v>357</v>
      </c>
      <c r="AA52" s="130" t="s">
        <v>93</v>
      </c>
      <c r="AB52" s="130" t="s">
        <v>374</v>
      </c>
    </row>
    <row r="53" spans="22:28" ht="39.6" customHeight="1" x14ac:dyDescent="0.3">
      <c r="V53" s="129" t="s">
        <v>175</v>
      </c>
      <c r="W53" s="130">
        <v>2</v>
      </c>
      <c r="X53" s="345" t="s">
        <v>176</v>
      </c>
      <c r="Y53" s="129" t="s">
        <v>121</v>
      </c>
      <c r="Z53" s="130" t="s">
        <v>358</v>
      </c>
      <c r="AA53" s="130" t="s">
        <v>93</v>
      </c>
      <c r="AB53" s="130" t="s">
        <v>376</v>
      </c>
    </row>
    <row r="54" spans="22:28" ht="24.95" customHeight="1" x14ac:dyDescent="0.3">
      <c r="V54" s="129" t="s">
        <v>175</v>
      </c>
      <c r="W54" s="130">
        <v>2</v>
      </c>
      <c r="X54" s="345" t="s">
        <v>177</v>
      </c>
      <c r="Y54" s="346" t="s">
        <v>166</v>
      </c>
      <c r="Z54" s="130" t="s">
        <v>359</v>
      </c>
      <c r="AA54" s="130" t="s">
        <v>93</v>
      </c>
      <c r="AB54" s="130" t="s">
        <v>375</v>
      </c>
    </row>
    <row r="55" spans="22:28" ht="24.95" customHeight="1" x14ac:dyDescent="0.3">
      <c r="V55" s="129" t="s">
        <v>175</v>
      </c>
      <c r="W55" s="130">
        <v>2</v>
      </c>
      <c r="X55" s="347" t="s">
        <v>178</v>
      </c>
      <c r="Y55" s="346" t="s">
        <v>179</v>
      </c>
      <c r="Z55" s="130" t="s">
        <v>359</v>
      </c>
      <c r="AA55" s="130" t="s">
        <v>93</v>
      </c>
      <c r="AB55" s="130" t="s">
        <v>458</v>
      </c>
    </row>
    <row r="56" spans="22:28" ht="24.95" customHeight="1" x14ac:dyDescent="0.3">
      <c r="V56" s="129" t="s">
        <v>180</v>
      </c>
      <c r="W56" s="130">
        <v>4</v>
      </c>
      <c r="X56" s="345" t="s">
        <v>94</v>
      </c>
      <c r="Y56" s="129" t="s">
        <v>181</v>
      </c>
      <c r="Z56" s="130" t="s">
        <v>360</v>
      </c>
      <c r="AA56" s="130" t="s">
        <v>93</v>
      </c>
      <c r="AB56" s="130" t="s">
        <v>370</v>
      </c>
    </row>
    <row r="57" spans="22:28" ht="24.95" customHeight="1" x14ac:dyDescent="0.3">
      <c r="V57" s="129" t="s">
        <v>180</v>
      </c>
      <c r="W57" s="130">
        <v>4</v>
      </c>
      <c r="X57" s="345" t="s">
        <v>182</v>
      </c>
      <c r="Y57" s="346" t="s">
        <v>183</v>
      </c>
      <c r="Z57" s="130" t="s">
        <v>360</v>
      </c>
      <c r="AA57" s="130" t="s">
        <v>93</v>
      </c>
      <c r="AB57" s="130" t="s">
        <v>371</v>
      </c>
    </row>
    <row r="58" spans="22:28" ht="24.95" customHeight="1" x14ac:dyDescent="0.3">
      <c r="V58" s="129" t="s">
        <v>180</v>
      </c>
      <c r="W58" s="130">
        <v>4</v>
      </c>
      <c r="X58" s="345" t="s">
        <v>184</v>
      </c>
      <c r="Y58" s="129" t="s">
        <v>185</v>
      </c>
      <c r="Z58" s="130" t="s">
        <v>360</v>
      </c>
      <c r="AA58" s="130" t="s">
        <v>93</v>
      </c>
      <c r="AB58" s="130" t="s">
        <v>377</v>
      </c>
    </row>
    <row r="59" spans="22:28" ht="24.95" customHeight="1" x14ac:dyDescent="0.3">
      <c r="V59" s="129"/>
      <c r="W59" s="130">
        <f>SUM(W51:W58)</f>
        <v>24</v>
      </c>
      <c r="X59" s="130"/>
      <c r="Y59" s="130"/>
      <c r="Z59" s="130"/>
      <c r="AA59" s="130"/>
      <c r="AB59" s="130"/>
    </row>
    <row r="60" spans="22:28" ht="24.95" customHeight="1" x14ac:dyDescent="0.3">
      <c r="V60" s="129" t="s">
        <v>84</v>
      </c>
      <c r="W60" s="130">
        <v>2</v>
      </c>
      <c r="X60" s="345" t="s">
        <v>253</v>
      </c>
      <c r="Y60" s="346" t="s">
        <v>186</v>
      </c>
      <c r="Z60" s="130" t="s">
        <v>359</v>
      </c>
      <c r="AA60" s="130" t="s">
        <v>122</v>
      </c>
      <c r="AB60" s="130" t="s">
        <v>378</v>
      </c>
    </row>
    <row r="61" spans="22:28" ht="24.95" customHeight="1" x14ac:dyDescent="0.3">
      <c r="V61" s="129" t="s">
        <v>84</v>
      </c>
      <c r="W61" s="130">
        <v>3</v>
      </c>
      <c r="X61" s="345" t="s">
        <v>187</v>
      </c>
      <c r="Y61" s="129" t="s">
        <v>188</v>
      </c>
      <c r="Z61" s="130" t="s">
        <v>361</v>
      </c>
      <c r="AA61" s="130" t="s">
        <v>122</v>
      </c>
      <c r="AB61" s="129" t="s">
        <v>367</v>
      </c>
    </row>
    <row r="62" spans="22:28" ht="33.6" customHeight="1" x14ac:dyDescent="0.3">
      <c r="V62" s="129" t="s">
        <v>82</v>
      </c>
      <c r="W62" s="130">
        <v>4</v>
      </c>
      <c r="X62" s="345" t="s">
        <v>117</v>
      </c>
      <c r="Y62" s="129" t="s">
        <v>118</v>
      </c>
      <c r="Z62" s="130" t="s">
        <v>362</v>
      </c>
      <c r="AA62" s="130" t="s">
        <v>122</v>
      </c>
      <c r="AB62" s="129" t="s">
        <v>342</v>
      </c>
    </row>
    <row r="63" spans="22:28" ht="24.95" customHeight="1" x14ac:dyDescent="0.3">
      <c r="V63" s="129" t="s">
        <v>82</v>
      </c>
      <c r="W63" s="130">
        <v>2</v>
      </c>
      <c r="X63" s="345" t="s">
        <v>163</v>
      </c>
      <c r="Y63" s="129" t="s">
        <v>164</v>
      </c>
      <c r="Z63" s="130" t="s">
        <v>363</v>
      </c>
      <c r="AA63" s="130" t="s">
        <v>122</v>
      </c>
      <c r="AB63" s="129" t="s">
        <v>454</v>
      </c>
    </row>
    <row r="64" spans="22:28" ht="36.6" customHeight="1" x14ac:dyDescent="0.3">
      <c r="V64" s="129" t="s">
        <v>82</v>
      </c>
      <c r="W64" s="130">
        <v>1</v>
      </c>
      <c r="X64" s="347" t="s">
        <v>165</v>
      </c>
      <c r="Y64" s="129" t="s">
        <v>166</v>
      </c>
      <c r="Z64" s="130" t="s">
        <v>364</v>
      </c>
      <c r="AA64" s="130" t="s">
        <v>122</v>
      </c>
      <c r="AB64" s="129" t="s">
        <v>331</v>
      </c>
    </row>
    <row r="65" spans="22:28" ht="24.95" customHeight="1" x14ac:dyDescent="0.3">
      <c r="V65" s="129" t="s">
        <v>83</v>
      </c>
      <c r="W65" s="130">
        <v>4</v>
      </c>
      <c r="X65" s="347" t="s">
        <v>119</v>
      </c>
      <c r="Y65" s="346" t="s">
        <v>120</v>
      </c>
      <c r="Z65" s="130" t="s">
        <v>365</v>
      </c>
      <c r="AA65" s="130" t="s">
        <v>122</v>
      </c>
      <c r="AB65" s="130" t="s">
        <v>370</v>
      </c>
    </row>
    <row r="66" spans="22:28" ht="24.95" customHeight="1" x14ac:dyDescent="0.3">
      <c r="V66" s="129" t="s">
        <v>83</v>
      </c>
      <c r="W66" s="130">
        <v>4</v>
      </c>
      <c r="X66" s="347" t="s">
        <v>167</v>
      </c>
      <c r="Y66" s="346" t="s">
        <v>168</v>
      </c>
      <c r="Z66" s="130" t="s">
        <v>365</v>
      </c>
      <c r="AA66" s="130" t="s">
        <v>122</v>
      </c>
      <c r="AB66" s="130" t="s">
        <v>379</v>
      </c>
    </row>
    <row r="67" spans="22:28" ht="24.95" customHeight="1" x14ac:dyDescent="0.3">
      <c r="V67" s="129" t="s">
        <v>83</v>
      </c>
      <c r="W67" s="130">
        <v>4</v>
      </c>
      <c r="X67" s="345" t="s">
        <v>169</v>
      </c>
      <c r="Y67" s="129" t="s">
        <v>170</v>
      </c>
      <c r="Z67" s="130" t="s">
        <v>365</v>
      </c>
      <c r="AA67" s="130" t="s">
        <v>122</v>
      </c>
      <c r="AB67" s="130" t="s">
        <v>380</v>
      </c>
    </row>
    <row r="68" spans="22:28" ht="24.95" customHeight="1" x14ac:dyDescent="0.3">
      <c r="V68" s="129"/>
      <c r="W68" s="130">
        <f>SUM(W60:W67)</f>
        <v>24</v>
      </c>
      <c r="X68" s="129"/>
      <c r="Y68" s="130"/>
      <c r="Z68" s="130"/>
      <c r="AA68" s="130"/>
      <c r="AB68" s="130"/>
    </row>
    <row r="69" spans="22:28" ht="24.95" customHeight="1" x14ac:dyDescent="0.3">
      <c r="V69" s="129" t="s">
        <v>82</v>
      </c>
      <c r="W69" s="130">
        <v>3</v>
      </c>
      <c r="X69" s="345" t="s">
        <v>94</v>
      </c>
      <c r="Y69" s="129" t="s">
        <v>95</v>
      </c>
      <c r="Z69" s="130" t="s">
        <v>388</v>
      </c>
      <c r="AA69" s="130" t="s">
        <v>125</v>
      </c>
      <c r="AB69" s="130" t="s">
        <v>394</v>
      </c>
    </row>
    <row r="70" spans="22:28" ht="42" customHeight="1" x14ac:dyDescent="0.3">
      <c r="V70" s="129" t="s">
        <v>82</v>
      </c>
      <c r="W70" s="130">
        <v>3</v>
      </c>
      <c r="X70" s="345" t="s">
        <v>117</v>
      </c>
      <c r="Y70" s="129" t="s">
        <v>118</v>
      </c>
      <c r="Z70" s="130" t="s">
        <v>389</v>
      </c>
      <c r="AA70" s="130" t="s">
        <v>125</v>
      </c>
      <c r="AB70" s="129" t="s">
        <v>395</v>
      </c>
    </row>
    <row r="71" spans="22:28" ht="39" customHeight="1" x14ac:dyDescent="0.3">
      <c r="V71" s="129" t="s">
        <v>254</v>
      </c>
      <c r="W71" s="130">
        <v>3</v>
      </c>
      <c r="X71" s="345" t="s">
        <v>123</v>
      </c>
      <c r="Y71" s="129" t="s">
        <v>124</v>
      </c>
      <c r="Z71" s="130" t="s">
        <v>388</v>
      </c>
      <c r="AA71" s="130" t="s">
        <v>125</v>
      </c>
      <c r="AB71" s="130" t="s">
        <v>396</v>
      </c>
    </row>
    <row r="72" spans="22:28" ht="24.95" customHeight="1" x14ac:dyDescent="0.3">
      <c r="V72" s="129" t="s">
        <v>254</v>
      </c>
      <c r="W72" s="130">
        <v>3</v>
      </c>
      <c r="X72" s="345" t="s">
        <v>126</v>
      </c>
      <c r="Y72" s="129" t="s">
        <v>127</v>
      </c>
      <c r="Z72" s="130" t="s">
        <v>390</v>
      </c>
      <c r="AA72" s="130" t="s">
        <v>125</v>
      </c>
      <c r="AB72" s="129" t="s">
        <v>444</v>
      </c>
    </row>
    <row r="73" spans="22:28" ht="46.9" customHeight="1" x14ac:dyDescent="0.3">
      <c r="V73" s="129" t="s">
        <v>90</v>
      </c>
      <c r="W73" s="130">
        <v>4</v>
      </c>
      <c r="X73" s="345" t="s">
        <v>128</v>
      </c>
      <c r="Y73" s="346" t="s">
        <v>129</v>
      </c>
      <c r="Z73" s="130" t="s">
        <v>391</v>
      </c>
      <c r="AA73" s="130" t="s">
        <v>125</v>
      </c>
      <c r="AB73" s="129" t="s">
        <v>397</v>
      </c>
    </row>
    <row r="74" spans="22:28" ht="37.15" customHeight="1" x14ac:dyDescent="0.3">
      <c r="V74" s="129" t="s">
        <v>90</v>
      </c>
      <c r="W74" s="130">
        <v>3</v>
      </c>
      <c r="X74" s="345" t="s">
        <v>130</v>
      </c>
      <c r="Y74" s="346" t="s">
        <v>131</v>
      </c>
      <c r="Z74" s="130" t="s">
        <v>392</v>
      </c>
      <c r="AA74" s="130" t="s">
        <v>125</v>
      </c>
      <c r="AB74" s="129" t="s">
        <v>398</v>
      </c>
    </row>
    <row r="75" spans="22:28" ht="37.15" customHeight="1" x14ac:dyDescent="0.3">
      <c r="V75" s="129" t="s">
        <v>90</v>
      </c>
      <c r="W75" s="130">
        <v>5</v>
      </c>
      <c r="X75" s="345" t="s">
        <v>132</v>
      </c>
      <c r="Y75" s="346" t="s">
        <v>133</v>
      </c>
      <c r="Z75" s="130" t="s">
        <v>393</v>
      </c>
      <c r="AA75" s="130" t="s">
        <v>125</v>
      </c>
      <c r="AB75" s="129" t="s">
        <v>399</v>
      </c>
    </row>
    <row r="76" spans="22:28" ht="39.6" customHeight="1" x14ac:dyDescent="0.3">
      <c r="V76" s="130"/>
      <c r="W76" s="130">
        <f>SUM(W69:W75)</f>
        <v>24</v>
      </c>
      <c r="X76" s="130"/>
      <c r="Y76" s="130"/>
      <c r="Z76" s="130"/>
      <c r="AA76" s="130"/>
      <c r="AB76" s="130"/>
    </row>
    <row r="77" spans="22:28" ht="42.6" customHeight="1" x14ac:dyDescent="0.3">
      <c r="V77" s="129" t="s">
        <v>115</v>
      </c>
      <c r="W77" s="130">
        <v>3</v>
      </c>
      <c r="X77" s="345" t="s">
        <v>189</v>
      </c>
      <c r="Y77" s="129" t="s">
        <v>255</v>
      </c>
      <c r="Z77" s="130" t="s">
        <v>403</v>
      </c>
      <c r="AA77" s="130" t="s">
        <v>204</v>
      </c>
      <c r="AB77" s="130" t="s">
        <v>410</v>
      </c>
    </row>
    <row r="78" spans="22:28" ht="37.9" customHeight="1" x14ac:dyDescent="0.3">
      <c r="V78" s="129" t="s">
        <v>115</v>
      </c>
      <c r="W78" s="130">
        <v>4</v>
      </c>
      <c r="X78" s="345" t="s">
        <v>190</v>
      </c>
      <c r="Y78" s="129" t="s">
        <v>256</v>
      </c>
      <c r="Z78" s="130" t="s">
        <v>404</v>
      </c>
      <c r="AA78" s="130" t="s">
        <v>204</v>
      </c>
      <c r="AB78" s="130" t="s">
        <v>411</v>
      </c>
    </row>
    <row r="79" spans="22:28" ht="39.6" customHeight="1" x14ac:dyDescent="0.3">
      <c r="V79" s="129" t="s">
        <v>116</v>
      </c>
      <c r="W79" s="130">
        <v>2</v>
      </c>
      <c r="X79" s="345" t="s">
        <v>191</v>
      </c>
      <c r="Y79" s="129" t="s">
        <v>192</v>
      </c>
      <c r="Z79" s="130" t="s">
        <v>405</v>
      </c>
      <c r="AA79" s="130" t="s">
        <v>204</v>
      </c>
      <c r="AB79" s="130" t="s">
        <v>409</v>
      </c>
    </row>
    <row r="80" spans="22:28" ht="24.95" customHeight="1" x14ac:dyDescent="0.3">
      <c r="V80" s="129" t="s">
        <v>116</v>
      </c>
      <c r="W80" s="130">
        <v>4</v>
      </c>
      <c r="X80" s="345" t="s">
        <v>193</v>
      </c>
      <c r="Y80" s="129" t="s">
        <v>194</v>
      </c>
      <c r="Z80" s="130" t="s">
        <v>402</v>
      </c>
      <c r="AA80" s="130" t="s">
        <v>204</v>
      </c>
      <c r="AB80" s="130" t="s">
        <v>412</v>
      </c>
    </row>
    <row r="81" spans="22:28" ht="24.95" customHeight="1" x14ac:dyDescent="0.3">
      <c r="V81" s="129" t="s">
        <v>195</v>
      </c>
      <c r="W81" s="130">
        <v>2</v>
      </c>
      <c r="X81" s="345" t="s">
        <v>196</v>
      </c>
      <c r="Y81" s="129" t="s">
        <v>197</v>
      </c>
      <c r="Z81" s="130" t="s">
        <v>405</v>
      </c>
      <c r="AA81" s="130" t="s">
        <v>204</v>
      </c>
      <c r="AB81" s="130" t="s">
        <v>414</v>
      </c>
    </row>
    <row r="82" spans="22:28" ht="24.95" customHeight="1" x14ac:dyDescent="0.3">
      <c r="V82" s="129" t="s">
        <v>195</v>
      </c>
      <c r="W82" s="130">
        <v>2</v>
      </c>
      <c r="X82" s="345" t="s">
        <v>198</v>
      </c>
      <c r="Y82" s="129" t="s">
        <v>199</v>
      </c>
      <c r="Z82" s="130" t="s">
        <v>405</v>
      </c>
      <c r="AA82" s="130" t="s">
        <v>204</v>
      </c>
      <c r="AB82" s="130" t="s">
        <v>413</v>
      </c>
    </row>
    <row r="83" spans="22:28" ht="24.95" customHeight="1" x14ac:dyDescent="0.3">
      <c r="V83" s="129" t="s">
        <v>200</v>
      </c>
      <c r="W83" s="130">
        <v>2</v>
      </c>
      <c r="X83" s="345" t="s">
        <v>257</v>
      </c>
      <c r="Y83" s="129" t="s">
        <v>258</v>
      </c>
      <c r="Z83" s="130" t="s">
        <v>406</v>
      </c>
      <c r="AA83" s="130" t="s">
        <v>204</v>
      </c>
      <c r="AB83" s="130" t="s">
        <v>415</v>
      </c>
    </row>
    <row r="84" spans="22:28" ht="24.95" customHeight="1" x14ac:dyDescent="0.3">
      <c r="V84" s="129" t="s">
        <v>200</v>
      </c>
      <c r="W84" s="130">
        <v>2</v>
      </c>
      <c r="X84" s="347" t="s">
        <v>259</v>
      </c>
      <c r="Y84" s="129" t="s">
        <v>260</v>
      </c>
      <c r="Z84" s="130" t="s">
        <v>406</v>
      </c>
      <c r="AA84" s="130" t="s">
        <v>204</v>
      </c>
      <c r="AB84" s="130" t="s">
        <v>416</v>
      </c>
    </row>
    <row r="85" spans="22:28" ht="24.95" customHeight="1" x14ac:dyDescent="0.3">
      <c r="V85" s="129" t="s">
        <v>200</v>
      </c>
      <c r="W85" s="130">
        <v>2</v>
      </c>
      <c r="X85" s="345" t="s">
        <v>261</v>
      </c>
      <c r="Y85" s="129" t="s">
        <v>262</v>
      </c>
      <c r="Z85" s="130" t="s">
        <v>407</v>
      </c>
      <c r="AA85" s="130" t="s">
        <v>204</v>
      </c>
      <c r="AB85" s="130" t="s">
        <v>417</v>
      </c>
    </row>
    <row r="86" spans="22:28" ht="24.95" customHeight="1" x14ac:dyDescent="0.3">
      <c r="V86" s="129" t="s">
        <v>200</v>
      </c>
      <c r="W86" s="130">
        <v>3</v>
      </c>
      <c r="X86" s="347" t="s">
        <v>263</v>
      </c>
      <c r="Y86" s="129" t="s">
        <v>264</v>
      </c>
      <c r="Z86" s="130" t="s">
        <v>408</v>
      </c>
      <c r="AA86" s="130" t="s">
        <v>204</v>
      </c>
      <c r="AB86" s="130" t="s">
        <v>418</v>
      </c>
    </row>
    <row r="87" spans="22:28" ht="24.95" customHeight="1" x14ac:dyDescent="0.3">
      <c r="V87" s="130"/>
      <c r="W87" s="130">
        <f>SUM(W77:W86)</f>
        <v>26</v>
      </c>
      <c r="X87" s="130"/>
      <c r="Y87" s="130"/>
      <c r="Z87" s="130"/>
      <c r="AA87" s="130"/>
      <c r="AB87" s="130"/>
    </row>
  </sheetData>
  <mergeCells count="53">
    <mergeCell ref="A48:T48"/>
    <mergeCell ref="C7:H7"/>
    <mergeCell ref="I7:N7"/>
    <mergeCell ref="O7:T7"/>
    <mergeCell ref="A1:T1"/>
    <mergeCell ref="I3:N3"/>
    <mergeCell ref="O3:T3"/>
    <mergeCell ref="R4:S4"/>
    <mergeCell ref="R5:S5"/>
    <mergeCell ref="O4:P4"/>
    <mergeCell ref="A40:A43"/>
    <mergeCell ref="B40:B43"/>
    <mergeCell ref="C42:C43"/>
    <mergeCell ref="D42:D43"/>
    <mergeCell ref="A3:A6"/>
    <mergeCell ref="B3:B6"/>
    <mergeCell ref="C3:H3"/>
    <mergeCell ref="I4:J4"/>
    <mergeCell ref="L4:M4"/>
    <mergeCell ref="A7:A12"/>
    <mergeCell ref="F4:G4"/>
    <mergeCell ref="C4:E4"/>
    <mergeCell ref="A13:A19"/>
    <mergeCell ref="A20:A26"/>
    <mergeCell ref="A27:A33"/>
    <mergeCell ref="A34:A39"/>
    <mergeCell ref="I42:I43"/>
    <mergeCell ref="C40:H40"/>
    <mergeCell ref="I40:N40"/>
    <mergeCell ref="H42:H43"/>
    <mergeCell ref="C41:E41"/>
    <mergeCell ref="F41:G41"/>
    <mergeCell ref="O40:T40"/>
    <mergeCell ref="I41:J41"/>
    <mergeCell ref="L41:M41"/>
    <mergeCell ref="R41:S41"/>
    <mergeCell ref="O41:P41"/>
    <mergeCell ref="S42:S43"/>
    <mergeCell ref="A44:T44"/>
    <mergeCell ref="A45:B45"/>
    <mergeCell ref="O42:O43"/>
    <mergeCell ref="P42:P43"/>
    <mergeCell ref="Q42:Q43"/>
    <mergeCell ref="R42:R43"/>
    <mergeCell ref="T42:T43"/>
    <mergeCell ref="J42:J43"/>
    <mergeCell ref="K42:K43"/>
    <mergeCell ref="L42:L43"/>
    <mergeCell ref="M42:M43"/>
    <mergeCell ref="N42:N43"/>
    <mergeCell ref="E42:E43"/>
    <mergeCell ref="F42:F43"/>
    <mergeCell ref="G42:G43"/>
  </mergeCells>
  <phoneticPr fontId="1" type="noConversion"/>
  <pageMargins left="0.7" right="0.7" top="0.75" bottom="0.75" header="0.3" footer="0.3"/>
  <pageSetup paperSize="12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2026학년도 1학기 시간표</vt:lpstr>
      <vt:lpstr>2026학년도 1학기 능력단위 시간표</vt:lpstr>
      <vt:lpstr>'2026학년도 1학기 시간표'!Print_Area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애란 박</cp:lastModifiedBy>
  <cp:lastPrinted>2026-04-03T01:46:08Z</cp:lastPrinted>
  <dcterms:created xsi:type="dcterms:W3CDTF">2018-07-07T03:20:37Z</dcterms:created>
  <dcterms:modified xsi:type="dcterms:W3CDTF">2026-04-03T01:47:26Z</dcterms:modified>
</cp:coreProperties>
</file>